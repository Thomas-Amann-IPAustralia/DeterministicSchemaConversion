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cegamt\Downloads\"/>
    </mc:Choice>
  </mc:AlternateContent>
  <xr:revisionPtr revIDLastSave="0" documentId="8_{5E34DA8B-950A-4457-AECC-8E57559F59E0}" xr6:coauthVersionLast="47" xr6:coauthVersionMax="47" xr10:uidLastSave="{00000000-0000-0000-0000-000000000000}"/>
  <bookViews>
    <workbookView xWindow="28680" yWindow="-120" windowWidth="29040" windowHeight="15720" tabRatio="869" activeTab="1" xr2:uid="{C1959CFF-B801-4967-A1D8-5B526BDD4770}"/>
  </bookViews>
  <sheets>
    <sheet name="ENT_external_influential_source" sheetId="9" r:id="rId1"/>
    <sheet name="JUNCT_influenced_by" sheetId="16" r:id="rId2"/>
    <sheet name="ENT_webpage" sheetId="3" r:id="rId3"/>
    <sheet name="JUNCT_webpage_relevant_terms" sheetId="18" r:id="rId4"/>
    <sheet name="JUNCT_webpage_links" sheetId="17" r:id="rId5"/>
    <sheet name="ENT_website" sheetId="10" r:id="rId6"/>
    <sheet name="ENT_stakeholder" sheetId="1" r:id="rId7"/>
    <sheet name="ENT_external_reference" sheetId="2" r:id="rId8"/>
    <sheet name="ENT_webpage_faq" sheetId="6" r:id="rId9"/>
    <sheet name="ENT_webpage_main_content" sheetId="11" r:id="rId10"/>
    <sheet name="ENT_disclaimer" sheetId="7" r:id="rId11"/>
    <sheet name="JUNCT_disclaimer" sheetId="15" r:id="rId12"/>
    <sheet name="ENT_vector" sheetId="12" r:id="rId13"/>
    <sheet name="ENT_term" sheetId="4" r:id="rId14"/>
    <sheet name="JUNCT_term_alias" sheetId="13" r:id="rId15"/>
    <sheet name="JUNCT_stakeholder_knowledge" sheetId="14"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2" l="1"/>
  <c r="C3" i="12"/>
  <c r="C4" i="12"/>
  <c r="C5" i="12"/>
  <c r="C6" i="12"/>
  <c r="C7" i="12"/>
  <c r="C8" i="12"/>
  <c r="C9" i="12"/>
  <c r="C2" i="6"/>
  <c r="C3" i="6"/>
  <c r="C4" i="6"/>
  <c r="C5" i="6"/>
  <c r="C6" i="6"/>
  <c r="C7" i="6"/>
  <c r="C8" i="6"/>
</calcChain>
</file>

<file path=xl/sharedStrings.xml><?xml version="1.0" encoding="utf-8"?>
<sst xmlns="http://schemas.openxmlformats.org/spreadsheetml/2006/main" count="399" uniqueCount="263">
  <si>
    <t>question_text</t>
  </si>
  <si>
    <t>answer_text</t>
  </si>
  <si>
    <t>disclaimer_text</t>
  </si>
  <si>
    <t>stakeholder_url</t>
  </si>
  <si>
    <t>inf_url</t>
  </si>
  <si>
    <t>inf_title</t>
  </si>
  <si>
    <t>src_owned_by</t>
  </si>
  <si>
    <t>influenced_by</t>
  </si>
  <si>
    <t>question_id</t>
  </si>
  <si>
    <t>answer_id</t>
  </si>
  <si>
    <t>dskgt_023</t>
  </si>
  <si>
    <t>pssgt_197</t>
  </si>
  <si>
    <t>gosln_567</t>
  </si>
  <si>
    <t>Sack Lunch</t>
  </si>
  <si>
    <t>Chunnel</t>
  </si>
  <si>
    <t>Death Blow</t>
  </si>
  <si>
    <t>https://EXAMPLE-SACKLUNCH.com.au</t>
  </si>
  <si>
    <t>https://EXAMPLE-SeinfeldMovies.com.au</t>
  </si>
  <si>
    <t>https://EXAMPLE-IdeasRThem.com.au</t>
  </si>
  <si>
    <t>K2092</t>
  </si>
  <si>
    <t>K9585</t>
  </si>
  <si>
    <t>J0010</t>
  </si>
  <si>
    <t>https://thismaybeatest.com.au</t>
  </si>
  <si>
    <t>https://bigredcar.com.au</t>
  </si>
  <si>
    <t>Wiggles</t>
  </si>
  <si>
    <t>Choot Choot Chugga Chugga</t>
  </si>
  <si>
    <t>When you need a site to test, boy howdy this is the one to do it with</t>
  </si>
  <si>
    <t>From waking up a narcoleptic named Jeff to being spoken down to by a pirate who can't be trusted with a real sword, these dudes have it all.</t>
  </si>
  <si>
    <t>Wow, just when you thought sites had reached their peak cool, this site goes and tops it. #neverhadiever</t>
  </si>
  <si>
    <t>2024-07-19</t>
  </si>
  <si>
    <t>2023-04-14</t>
  </si>
  <si>
    <t>2025-02-12</t>
  </si>
  <si>
    <t>2025-02-24</t>
  </si>
  <si>
    <t>2026-02-19</t>
  </si>
  <si>
    <t>2026-02-20</t>
  </si>
  <si>
    <t>Service</t>
  </si>
  <si>
    <t>GovernmentService</t>
  </si>
  <si>
    <t>Article</t>
  </si>
  <si>
    <t>https://thismaybeatest/test02.com.au</t>
  </si>
  <si>
    <t>https://bigredcar/feathersword.com.au</t>
  </si>
  <si>
    <t>https://onyxjaguarmccool/icepunch.com.au</t>
  </si>
  <si>
    <t>Testing page 2</t>
  </si>
  <si>
    <t>Ice Punch</t>
  </si>
  <si>
    <t>Cap'n feathersword</t>
  </si>
  <si>
    <t>https://onyxjaguarmccool.com.au</t>
  </si>
  <si>
    <t>website_title</t>
  </si>
  <si>
    <t>website_url</t>
  </si>
  <si>
    <t>https://thismaybeatest.com.au#website</t>
  </si>
  <si>
    <t>https://bigredcar.com.au#website</t>
  </si>
  <si>
    <t>https://onyxjaguarmccool.com.au#website</t>
  </si>
  <si>
    <t>The second page to test with</t>
  </si>
  <si>
    <t>Frosted Fist of Glory Doom</t>
  </si>
  <si>
    <t>Test Website</t>
  </si>
  <si>
    <t>Cool Site</t>
  </si>
  <si>
    <t>GovernmentOrganization</t>
  </si>
  <si>
    <t>https://www.fedcourt.gov.au</t>
  </si>
  <si>
    <t>https://www.fedcourt.gov.au#organization</t>
  </si>
  <si>
    <t>NGO</t>
  </si>
  <si>
    <t>Federal Court of Australia</t>
  </si>
  <si>
    <t>.au Domain Administration</t>
  </si>
  <si>
    <t>https://www.wikidata.org/wiki/Q151602</t>
  </si>
  <si>
    <t>https://www.auda.org.au#organization</t>
  </si>
  <si>
    <t>Organization</t>
  </si>
  <si>
    <t>https://mediationsaustralia.com.au</t>
  </si>
  <si>
    <t>https://mediationsaustralia.com.au#organization</t>
  </si>
  <si>
    <t>Mediations Australia</t>
  </si>
  <si>
    <t>At Mediations Australia, regardless of the type of dispute, we can resolve it. Our mediators have a success rate of 90% in resolving the most simple to the most complex disputes.</t>
  </si>
  <si>
    <t>https://www.auda.org.au/</t>
  </si>
  <si>
    <t xml:space="preserve">The Federal Court of Australia was created by the Federal Court of Australia Act 1976 (Cth) as a superior court of record and a court of law and equity. It sits in all capital cities and elsewhere in Australia when necessary. </t>
  </si>
  <si>
    <t>.au Domain Administration (auDA) is an Australian not-for-profit organisation, endorsed by the Australian Government to manage the .au domain for the benefit of all Australians. Our Terms of Endorsement from the Australian Government set out auDA’s core functions.</t>
  </si>
  <si>
    <t>https://www.wikidata.org/wiki/Q1400030</t>
  </si>
  <si>
    <t>https://www.wikidata.org/wiki/Q6806189</t>
  </si>
  <si>
    <t>https://www.abc.net.au/triplej</t>
  </si>
  <si>
    <t>Triple J</t>
  </si>
  <si>
    <t>extref_0020</t>
  </si>
  <si>
    <t>https://www.ipaustralia.gov.au</t>
  </si>
  <si>
    <t>IP Australia</t>
  </si>
  <si>
    <t>Administering IP so that we can ensure all Australians benefit from great ideas</t>
  </si>
  <si>
    <t>https://www.ipaustralia.gov.au#organization</t>
  </si>
  <si>
    <t>https://www.wikidata.org/wiki/Q5973154</t>
  </si>
  <si>
    <t>https://TESTERS.com.au</t>
  </si>
  <si>
    <t>https://TESTERS.com.au#organization</t>
  </si>
  <si>
    <t>Website Testers</t>
  </si>
  <si>
    <t>https://www.wikidata.org/wiki/Q67621596</t>
  </si>
  <si>
    <t>When there's something strange in your neighbourhood, who you gonna call? WEB TESTERS</t>
  </si>
  <si>
    <t>Unilever</t>
  </si>
  <si>
    <t>https://unilever.com.au#organization</t>
  </si>
  <si>
    <t>https://unilever.com.au</t>
  </si>
  <si>
    <t>We own you</t>
  </si>
  <si>
    <t>https://www.wikidata.org/wiki/Q157062</t>
  </si>
  <si>
    <t>https://bigredcar/feathersword.com.au#webpage</t>
  </si>
  <si>
    <t>https://thismaybeatest/test02.com.au#webpage</t>
  </si>
  <si>
    <t>https://onyxjaguarmccool/icepunch.com.au#webpage</t>
  </si>
  <si>
    <t>extref_7120</t>
  </si>
  <si>
    <t>WIPO</t>
  </si>
  <si>
    <t>https://www.wipo.int/portal/en/</t>
  </si>
  <si>
    <t>https://bigredcar/feathersword.com.au#faq-q1</t>
  </si>
  <si>
    <t>https://bigredcar/feathersword.com.au#faq-q2</t>
  </si>
  <si>
    <t>https://bigredcar/feathersword.com.au#faq-q3</t>
  </si>
  <si>
    <t>https://bigredcar/feathersword.com.au#faq-q1-a</t>
  </si>
  <si>
    <t>https://bigredcar/feathersword.com.au#faq-q2-a</t>
  </si>
  <si>
    <t>https://bigredcar/feathersword.com.au#faq-q3-a</t>
  </si>
  <si>
    <t>https://onyxjaguarmccool/icepunch.com.au#faq-q1</t>
  </si>
  <si>
    <t>https://onyxjaguarmccool/icepunch.com.au#faq-q2</t>
  </si>
  <si>
    <t>https://onyxjaguarmccool/icepunch.com.au#faq-q3</t>
  </si>
  <si>
    <t>https://onyxjaguarmccool/icepunch.com.au#faq-q4</t>
  </si>
  <si>
    <t>https://onyxjaguarmccool/icepunch.com.au#faq-q1-a</t>
  </si>
  <si>
    <t>https://onyxjaguarmccool/icepunch.com.au#faq-q2-a</t>
  </si>
  <si>
    <t>https://onyxjaguarmccool/icepunch.com.au#faq-q3-a</t>
  </si>
  <si>
    <t>https://onyxjaguarmccool/icepunch.com.au#faq-q4-a</t>
  </si>
  <si>
    <t>How much?</t>
  </si>
  <si>
    <t>THIS much</t>
  </si>
  <si>
    <t>Mash Bannanna?</t>
  </si>
  <si>
    <t>Yummy Yummy</t>
  </si>
  <si>
    <t>Wake up who?</t>
  </si>
  <si>
    <t>JEFF!</t>
  </si>
  <si>
    <t>Dolph Lundgren</t>
  </si>
  <si>
    <t>Who is the uber max?</t>
  </si>
  <si>
    <t>Nu-Metal</t>
  </si>
  <si>
    <t>Cool people listen to what music?</t>
  </si>
  <si>
    <t>How many is too many?</t>
  </si>
  <si>
    <t>Not enough</t>
  </si>
  <si>
    <t>How many questions can I ask?</t>
  </si>
  <si>
    <t>More than this</t>
  </si>
  <si>
    <t>This page contains which may, or may not be used to test a system. What might that system be? Who knows! Haha, tryuly what an exciting time to be alive</t>
  </si>
  <si>
    <t>This is standard disclaimer text. Use it basically all the time to protect yourself from hazards or whatever.</t>
  </si>
  <si>
    <t>disc_01a</t>
  </si>
  <si>
    <t>disc_02a</t>
  </si>
  <si>
    <t>This is a non-standard disclaimer text. Use it when your threatening to sue someone</t>
  </si>
  <si>
    <t>disc_02b</t>
  </si>
  <si>
    <t>This is a non-standard disclaimer text. Use it when you use AI to provide legal advice and then shoot you into the sun.</t>
  </si>
  <si>
    <t>Coffee</t>
  </si>
  <si>
    <t>https://www.wikidata.org/wiki/Q8486</t>
  </si>
  <si>
    <t>Domain name dispute</t>
  </si>
  <si>
    <t>https://www.wikidata.org/wiki/Q115025477</t>
  </si>
  <si>
    <t xml:space="preserve">A process you can use if someone registers a web address that you believe is misleading in relation to your business. This often involves the .au Dispute Resolution Policy (auDRP). </t>
  </si>
  <si>
    <t xml:space="preserve">Mark </t>
  </si>
  <si>
    <t xml:space="preserve">This is a sign that can distinguish a company's goods or services from those of others. While this is most often in the form of words, images and logos, it can also come in more unconventional forms such as sounds, videos, colours, scents, etc.  </t>
  </si>
  <si>
    <t>Legal case</t>
  </si>
  <si>
    <t>https://www.wikidata.org/wiki/Q2334719</t>
  </si>
  <si>
    <t xml:space="preserve">SME </t>
  </si>
  <si>
    <t>https://www.wikidata.org/wiki/Q1109680</t>
  </si>
  <si>
    <t xml:space="preserve">Small to medium enterprise. Usually defined as businesses with fewer than 200 employees. Many of our guides focus on SME-friendly options. </t>
  </si>
  <si>
    <t xml:space="preserve">Patent </t>
  </si>
  <si>
    <t>IP rights</t>
  </si>
  <si>
    <t xml:space="preserve">A right that protects how an invention works. It must be new, useful and involve an inventive step. You apply through IP Australia. A granted patent gives strong exclusive rights for up to 20 years. </t>
  </si>
  <si>
    <t>Design Rights</t>
  </si>
  <si>
    <t>A type of IP right that protects the visual appearance of a product. In Australia, this means a registered design. It must be new and distinctive. Sometimes called a 'design right' or 'industrial design'.</t>
  </si>
  <si>
    <t>Legal rights that give someone ownership and control over their IP. These include, but are not limited to, patents, trade marks, designs, plant breeder’s rights (PBRs), and copyright.</t>
  </si>
  <si>
    <t>https://www.wikidata.org/wiki/Q108855835</t>
  </si>
  <si>
    <t>https://www.wikidata.org/wiki/Q253623</t>
  </si>
  <si>
    <t>https://www.wikidata.org/wiki/Q1240325</t>
  </si>
  <si>
    <t>K2092-MC1</t>
  </si>
  <si>
    <t>K2092-VE_001</t>
  </si>
  <si>
    <t>K9585-VE_001</t>
  </si>
  <si>
    <t>K9585-VE_002</t>
  </si>
  <si>
    <t>K9585-VE_003</t>
  </si>
  <si>
    <t>J0010-VE_001</t>
  </si>
  <si>
    <t>J0010-VE_002</t>
  </si>
  <si>
    <t>J0010-VE_003</t>
  </si>
  <si>
    <t>J0010-VE_004</t>
  </si>
  <si>
    <t>term_alias</t>
  </si>
  <si>
    <t>Industrial Designs</t>
  </si>
  <si>
    <t>Designs</t>
  </si>
  <si>
    <t>webpage_url</t>
  </si>
  <si>
    <t>webpage_name</t>
  </si>
  <si>
    <t>webpage_altname</t>
  </si>
  <si>
    <t>webpage_description</t>
  </si>
  <si>
    <t>webpage_publisher</t>
  </si>
  <si>
    <t>webpage_date_published</t>
  </si>
  <si>
    <t>webpage_date_modified</t>
  </si>
  <si>
    <t>webpage_main_entity_type</t>
  </si>
  <si>
    <t>webpage_provider</t>
  </si>
  <si>
    <t>webpage_is_part_of</t>
  </si>
  <si>
    <t>website_owned_by</t>
  </si>
  <si>
    <t>stakeholder_type</t>
  </si>
  <si>
    <t>stakeholder_name</t>
  </si>
  <si>
    <t>stakeholder_description</t>
  </si>
  <si>
    <t>stakeholder_same_as</t>
  </si>
  <si>
    <t>stakeholder_knows_about</t>
  </si>
  <si>
    <t>destination_link_title</t>
  </si>
  <si>
    <t>destination_link_url</t>
  </si>
  <si>
    <t>main_content_text</t>
  </si>
  <si>
    <t>main_content_text_id</t>
  </si>
  <si>
    <t>chunk_id</t>
  </si>
  <si>
    <t>term_to_define</t>
  </si>
  <si>
    <t>wikidata_url</t>
  </si>
  <si>
    <t>internal_definition</t>
  </si>
  <si>
    <t>stakeholder_uri</t>
  </si>
  <si>
    <t>SH_001</t>
  </si>
  <si>
    <t>SH_002</t>
  </si>
  <si>
    <t>SH_003</t>
  </si>
  <si>
    <t>SH_004</t>
  </si>
  <si>
    <t>SH_005</t>
  </si>
  <si>
    <t>SH_006</t>
  </si>
  <si>
    <t>TRM0001</t>
  </si>
  <si>
    <t>TRM0002</t>
  </si>
  <si>
    <t>TRM0003</t>
  </si>
  <si>
    <t>TRM0004</t>
  </si>
  <si>
    <t>TRM0005</t>
  </si>
  <si>
    <t>TRM0006</t>
  </si>
  <si>
    <t>TRM0007</t>
  </si>
  <si>
    <t>TRM0008</t>
  </si>
  <si>
    <t>faq_id</t>
  </si>
  <si>
    <t>K9585QAP1</t>
  </si>
  <si>
    <t>K9585QAP3</t>
  </si>
  <si>
    <t>K9585QAP2</t>
  </si>
  <si>
    <t>J0010QAP1</t>
  </si>
  <si>
    <t>J0010QAP2</t>
  </si>
  <si>
    <t>J0010QAP3</t>
  </si>
  <si>
    <t>J0010QAP4</t>
  </si>
  <si>
    <t>webpage_uri</t>
  </si>
  <si>
    <t>chunk_hash</t>
  </si>
  <si>
    <t>25732168923a1a687352869156795f59049a405527339890989f643486063e72</t>
  </si>
  <si>
    <t>75732168923a1a687352869156795f79049a405527339890989f643486063e72</t>
  </si>
  <si>
    <t>75732168923a1a6873a7869156795f79049a405527339890989f643486063e72</t>
  </si>
  <si>
    <t>757452168923a1a6873a786915795f79049a405527339890989f643486063e72</t>
  </si>
  <si>
    <t>23732168923a1a687352869156795f79049a405527339890989f643486063e83</t>
  </si>
  <si>
    <t>757452186923a1a6873a786915675f79049a405527339890989f643486063e92</t>
  </si>
  <si>
    <t>897452186923a1a6873a786915675f79049a415527339890989f643486063e42</t>
  </si>
  <si>
    <t>477452186923a1a6873a786915675f79049a415527339890989f643486063e22</t>
  </si>
  <si>
    <t>hash_algorithm</t>
  </si>
  <si>
    <t>SHA-256</t>
  </si>
  <si>
    <t>2026-03-02</t>
  </si>
  <si>
    <t>2026-03-01</t>
  </si>
  <si>
    <t>2026-03-03</t>
  </si>
  <si>
    <t>external_influence_id</t>
  </si>
  <si>
    <t>webpage_id</t>
  </si>
  <si>
    <t>website_id</t>
  </si>
  <si>
    <t>stakeholder_id</t>
  </si>
  <si>
    <t>external_ref_id</t>
  </si>
  <si>
    <t>disclaimer_id</t>
  </si>
  <si>
    <t>term_id</t>
  </si>
  <si>
    <t>destination_external_ref_id</t>
  </si>
  <si>
    <t>destination_webpage_id</t>
  </si>
  <si>
    <t>webpage_is_relevant_to</t>
  </si>
  <si>
    <t>stakeholder_alias</t>
  </si>
  <si>
    <t>Federal Court</t>
  </si>
  <si>
    <t>auDA</t>
  </si>
  <si>
    <t>Intellectual Property Australia</t>
  </si>
  <si>
    <t>Websters</t>
  </si>
  <si>
    <t>faq_display_order</t>
  </si>
  <si>
    <t>display_order</t>
  </si>
  <si>
    <t>influence_strength</t>
  </si>
  <si>
    <t>high</t>
  </si>
  <si>
    <t>low</t>
  </si>
  <si>
    <t>src_type</t>
  </si>
  <si>
    <t>website</t>
  </si>
  <si>
    <t>policy</t>
  </si>
  <si>
    <t>chunk_order</t>
  </si>
  <si>
    <t>embedding_creation_date</t>
  </si>
  <si>
    <t>embedding_dim</t>
  </si>
  <si>
    <t>embedding_model</t>
  </si>
  <si>
    <t>text-embedding-3-small</t>
  </si>
  <si>
    <t>website_uri</t>
  </si>
  <si>
    <t>SITE_0001</t>
  </si>
  <si>
    <t>SITE_0002</t>
  </si>
  <si>
    <t>SITE_0003</t>
  </si>
  <si>
    <t>medium</t>
  </si>
  <si>
    <t>term_relevance_weight</t>
  </si>
  <si>
    <t>primary</t>
  </si>
  <si>
    <t>secondary</t>
  </si>
  <si>
    <t>tertiary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</si>
</sst>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49" fontId="0" fillId="0" borderId="0" xfId="0" applyNumberFormat="1"/>
    <xf numFmtId="0" fontId="0" fillId="0" borderId="0" xfId="0" applyAlignment="1">
      <alignment wrapText="1"/>
    </xf>
    <xf numFmtId="0" fontId="4"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ample-ideasrthem.com.au/" TargetMode="External"/><Relationship Id="rId2" Type="http://schemas.openxmlformats.org/officeDocument/2006/relationships/hyperlink" Target="https://example-seinfeldmovies.com.au/" TargetMode="External"/><Relationship Id="rId1" Type="http://schemas.openxmlformats.org/officeDocument/2006/relationships/hyperlink" Target="https://example-sacklunch.com.au/"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hismaybeatest/test02.com.au" TargetMode="External"/><Relationship Id="rId7" Type="http://schemas.openxmlformats.org/officeDocument/2006/relationships/printerSettings" Target="../printerSettings/printerSettings1.bin"/><Relationship Id="rId2" Type="http://schemas.openxmlformats.org/officeDocument/2006/relationships/hyperlink" Target="https://onyxjaguarmccool/icepunch.com.au" TargetMode="External"/><Relationship Id="rId1" Type="http://schemas.openxmlformats.org/officeDocument/2006/relationships/hyperlink" Target="https://bigredcar/feathersword.com.au" TargetMode="External"/><Relationship Id="rId6" Type="http://schemas.openxmlformats.org/officeDocument/2006/relationships/hyperlink" Target="https://onyxjaguarmccool/icepunch.com.au" TargetMode="External"/><Relationship Id="rId5" Type="http://schemas.openxmlformats.org/officeDocument/2006/relationships/hyperlink" Target="https://thismaybeatest/test02.com.au" TargetMode="External"/><Relationship Id="rId4" Type="http://schemas.openxmlformats.org/officeDocument/2006/relationships/hyperlink" Target="https://bigredcar/feathersword.com.au"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yxjaguarmccool.com.au/" TargetMode="External"/><Relationship Id="rId2" Type="http://schemas.openxmlformats.org/officeDocument/2006/relationships/hyperlink" Target="https://bigredcar.com.au/" TargetMode="External"/><Relationship Id="rId1" Type="http://schemas.openxmlformats.org/officeDocument/2006/relationships/hyperlink" Target="https://thismaybeatest.com.au/" TargetMode="External"/><Relationship Id="rId6" Type="http://schemas.openxmlformats.org/officeDocument/2006/relationships/hyperlink" Target="https://onyxjaguarmccool.com.au/" TargetMode="External"/><Relationship Id="rId5" Type="http://schemas.openxmlformats.org/officeDocument/2006/relationships/hyperlink" Target="https://bigredcar.com.au/" TargetMode="External"/><Relationship Id="rId4" Type="http://schemas.openxmlformats.org/officeDocument/2006/relationships/hyperlink" Target="https://thismaybeatest.com.au/"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wikidata.org/wiki/Q1400030" TargetMode="External"/><Relationship Id="rId13" Type="http://schemas.openxmlformats.org/officeDocument/2006/relationships/hyperlink" Target="https://testers.com.au/" TargetMode="External"/><Relationship Id="rId18" Type="http://schemas.openxmlformats.org/officeDocument/2006/relationships/hyperlink" Target="https://www.wikidata.org/wiki/Q157062" TargetMode="External"/><Relationship Id="rId3" Type="http://schemas.openxmlformats.org/officeDocument/2006/relationships/hyperlink" Target="https://www.wikidata.org/wiki/Q151602" TargetMode="External"/><Relationship Id="rId7" Type="http://schemas.openxmlformats.org/officeDocument/2006/relationships/hyperlink" Target="https://www.auda.org.au/" TargetMode="External"/><Relationship Id="rId12" Type="http://schemas.openxmlformats.org/officeDocument/2006/relationships/hyperlink" Target="https://www.wikidata.org/wiki/Q5973154" TargetMode="External"/><Relationship Id="rId17" Type="http://schemas.openxmlformats.org/officeDocument/2006/relationships/hyperlink" Target="https://unilever.com.au/" TargetMode="External"/><Relationship Id="rId2" Type="http://schemas.openxmlformats.org/officeDocument/2006/relationships/hyperlink" Target="https://www.fedcourt.gov.au/" TargetMode="External"/><Relationship Id="rId16" Type="http://schemas.openxmlformats.org/officeDocument/2006/relationships/hyperlink" Target="https://unilever.com.au/" TargetMode="External"/><Relationship Id="rId1" Type="http://schemas.openxmlformats.org/officeDocument/2006/relationships/hyperlink" Target="https://www.fedcourt.gov.au/" TargetMode="External"/><Relationship Id="rId6" Type="http://schemas.openxmlformats.org/officeDocument/2006/relationships/hyperlink" Target="https://www.auda.org.au/" TargetMode="External"/><Relationship Id="rId11" Type="http://schemas.openxmlformats.org/officeDocument/2006/relationships/hyperlink" Target="https://www.ipaustralia.gov.au/" TargetMode="External"/><Relationship Id="rId5" Type="http://schemas.openxmlformats.org/officeDocument/2006/relationships/hyperlink" Target="https://mediationsaustralia.com.au/" TargetMode="External"/><Relationship Id="rId15" Type="http://schemas.openxmlformats.org/officeDocument/2006/relationships/hyperlink" Target="https://www.wikidata.org/wiki/Q67621596" TargetMode="External"/><Relationship Id="rId10" Type="http://schemas.openxmlformats.org/officeDocument/2006/relationships/hyperlink" Target="https://www.ipaustralia.gov.au/" TargetMode="External"/><Relationship Id="rId4" Type="http://schemas.openxmlformats.org/officeDocument/2006/relationships/hyperlink" Target="https://mediationsaustralia.com.au/" TargetMode="External"/><Relationship Id="rId9" Type="http://schemas.openxmlformats.org/officeDocument/2006/relationships/hyperlink" Target="https://www.wikidata.org/wiki/Q6806189" TargetMode="External"/><Relationship Id="rId14" Type="http://schemas.openxmlformats.org/officeDocument/2006/relationships/hyperlink" Target="https://testers.com.au/"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wipo.int/portal/en/" TargetMode="External"/><Relationship Id="rId1" Type="http://schemas.openxmlformats.org/officeDocument/2006/relationships/hyperlink" Target="https://www.abc.net.au/triplej"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onyxjaguarmccool/icepunch.com.au" TargetMode="External"/><Relationship Id="rId13" Type="http://schemas.openxmlformats.org/officeDocument/2006/relationships/hyperlink" Target="https://onyxjaguarmccool/icepunch.com.au" TargetMode="External"/><Relationship Id="rId3" Type="http://schemas.openxmlformats.org/officeDocument/2006/relationships/hyperlink" Target="https://bigredcar/feathersword.com.au" TargetMode="External"/><Relationship Id="rId7" Type="http://schemas.openxmlformats.org/officeDocument/2006/relationships/hyperlink" Target="https://onyxjaguarmccool/icepunch.com.au" TargetMode="External"/><Relationship Id="rId12" Type="http://schemas.openxmlformats.org/officeDocument/2006/relationships/hyperlink" Target="https://onyxjaguarmccool/icepunch.com.au" TargetMode="External"/><Relationship Id="rId2" Type="http://schemas.openxmlformats.org/officeDocument/2006/relationships/hyperlink" Target="https://bigredcar/feathersword.com.au" TargetMode="External"/><Relationship Id="rId1" Type="http://schemas.openxmlformats.org/officeDocument/2006/relationships/hyperlink" Target="https://bigredcar/feathersword.com.au" TargetMode="External"/><Relationship Id="rId6" Type="http://schemas.openxmlformats.org/officeDocument/2006/relationships/hyperlink" Target="https://bigredcar/feathersword.com.au" TargetMode="External"/><Relationship Id="rId11" Type="http://schemas.openxmlformats.org/officeDocument/2006/relationships/hyperlink" Target="https://onyxjaguarmccool/icepunch.com.au" TargetMode="External"/><Relationship Id="rId5" Type="http://schemas.openxmlformats.org/officeDocument/2006/relationships/hyperlink" Target="https://bigredcar/feathersword.com.au" TargetMode="External"/><Relationship Id="rId10" Type="http://schemas.openxmlformats.org/officeDocument/2006/relationships/hyperlink" Target="https://onyxjaguarmccool/icepunch.com.au" TargetMode="External"/><Relationship Id="rId4" Type="http://schemas.openxmlformats.org/officeDocument/2006/relationships/hyperlink" Target="https://bigredcar/feathersword.com.au" TargetMode="External"/><Relationship Id="rId9" Type="http://schemas.openxmlformats.org/officeDocument/2006/relationships/hyperlink" Target="https://onyxjaguarmccool/icepunch.com.au" TargetMode="External"/><Relationship Id="rId14" Type="http://schemas.openxmlformats.org/officeDocument/2006/relationships/hyperlink" Target="https://onyxjaguarmccool/icepunch.com.au"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wikidata.org/wiki/Q2334719" TargetMode="External"/><Relationship Id="rId7" Type="http://schemas.openxmlformats.org/officeDocument/2006/relationships/hyperlink" Target="https://www.wikidata.org/wiki/Q1240325" TargetMode="External"/><Relationship Id="rId2" Type="http://schemas.openxmlformats.org/officeDocument/2006/relationships/hyperlink" Target="https://www.wikidata.org/wiki/Q115025477" TargetMode="External"/><Relationship Id="rId1" Type="http://schemas.openxmlformats.org/officeDocument/2006/relationships/hyperlink" Target="https://www.wikidata.org/wiki/Q8486" TargetMode="External"/><Relationship Id="rId6" Type="http://schemas.openxmlformats.org/officeDocument/2006/relationships/hyperlink" Target="https://www.wikidata.org/wiki/Q253623" TargetMode="External"/><Relationship Id="rId5" Type="http://schemas.openxmlformats.org/officeDocument/2006/relationships/hyperlink" Target="https://www.wikidata.org/wiki/Q108855835" TargetMode="External"/><Relationship Id="rId4" Type="http://schemas.openxmlformats.org/officeDocument/2006/relationships/hyperlink" Target="https://www.wikidata.org/wiki/Q11096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50A4-6E59-454C-9A49-B4D7CCA0B2BC}">
  <dimension ref="A1:E4"/>
  <sheetViews>
    <sheetView workbookViewId="0">
      <selection activeCell="C8" sqref="C8"/>
    </sheetView>
  </sheetViews>
  <sheetFormatPr defaultRowHeight="15" x14ac:dyDescent="0.25"/>
  <cols>
    <col min="1" max="1" width="21.140625" customWidth="1"/>
    <col min="2" max="2" width="14.140625" customWidth="1"/>
    <col min="3" max="3" width="51.140625" customWidth="1"/>
    <col min="4" max="4" width="19.85546875" customWidth="1"/>
    <col min="5" max="5" width="46.140625" customWidth="1"/>
  </cols>
  <sheetData>
    <row r="1" spans="1:5" x14ac:dyDescent="0.25">
      <c r="A1" s="1" t="s">
        <v>226</v>
      </c>
      <c r="B1" s="1" t="s">
        <v>5</v>
      </c>
      <c r="C1" s="1" t="s">
        <v>4</v>
      </c>
      <c r="D1" s="1" t="s">
        <v>246</v>
      </c>
      <c r="E1" s="1" t="s">
        <v>6</v>
      </c>
    </row>
    <row r="2" spans="1:5" x14ac:dyDescent="0.25">
      <c r="A2" t="s">
        <v>10</v>
      </c>
      <c r="B2" t="s">
        <v>13</v>
      </c>
      <c r="C2" s="2" t="s">
        <v>16</v>
      </c>
      <c r="D2" s="5" t="s">
        <v>248</v>
      </c>
      <c r="E2" t="s">
        <v>191</v>
      </c>
    </row>
    <row r="3" spans="1:5" x14ac:dyDescent="0.25">
      <c r="A3" t="s">
        <v>11</v>
      </c>
      <c r="B3" t="s">
        <v>14</v>
      </c>
      <c r="C3" s="2" t="s">
        <v>17</v>
      </c>
      <c r="D3" s="5" t="s">
        <v>247</v>
      </c>
      <c r="E3" t="s">
        <v>191</v>
      </c>
    </row>
    <row r="4" spans="1:5" x14ac:dyDescent="0.25">
      <c r="A4" t="s">
        <v>12</v>
      </c>
      <c r="B4" t="s">
        <v>15</v>
      </c>
      <c r="C4" s="2" t="s">
        <v>18</v>
      </c>
      <c r="D4" s="5" t="s">
        <v>247</v>
      </c>
      <c r="E4" t="s">
        <v>191</v>
      </c>
    </row>
  </sheetData>
  <hyperlinks>
    <hyperlink ref="C2" r:id="rId1" xr:uid="{62D955F3-BB42-4F37-A68E-CDD02834BE2B}"/>
    <hyperlink ref="C3" r:id="rId2" xr:uid="{918044FD-8F97-4126-9A8F-BBB2F0B6D7C8}"/>
    <hyperlink ref="C4" r:id="rId3" xr:uid="{2CBD8EDA-1292-4A47-B335-B8260BA6984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3F96-802A-41AD-A571-117CA91F613D}">
  <dimension ref="A1:H6"/>
  <sheetViews>
    <sheetView tabSelected="1" workbookViewId="0">
      <selection activeCell="G17" sqref="G17"/>
    </sheetView>
  </sheetViews>
  <sheetFormatPr defaultRowHeight="15" x14ac:dyDescent="0.25"/>
  <cols>
    <col min="1" max="1" width="16.7109375" customWidth="1"/>
    <col min="2" max="2" width="17.140625" customWidth="1"/>
    <col min="3" max="3" width="21.5703125" customWidth="1"/>
    <col min="8" max="8" width="15.28515625" customWidth="1"/>
  </cols>
  <sheetData>
    <row r="1" spans="1:8" x14ac:dyDescent="0.25">
      <c r="A1" s="1" t="s">
        <v>227</v>
      </c>
      <c r="B1" s="1" t="s">
        <v>7</v>
      </c>
      <c r="C1" s="1" t="s">
        <v>243</v>
      </c>
    </row>
    <row r="2" spans="1:8" x14ac:dyDescent="0.25">
      <c r="A2" t="s">
        <v>19</v>
      </c>
      <c r="B2" t="s">
        <v>10</v>
      </c>
      <c r="C2" t="s">
        <v>244</v>
      </c>
    </row>
    <row r="3" spans="1:8" x14ac:dyDescent="0.25">
      <c r="A3" t="s">
        <v>19</v>
      </c>
      <c r="B3" t="s">
        <v>11</v>
      </c>
      <c r="C3" t="s">
        <v>245</v>
      </c>
    </row>
    <row r="4" spans="1:8" x14ac:dyDescent="0.25">
      <c r="A4" t="s">
        <v>20</v>
      </c>
      <c r="B4" t="s">
        <v>12</v>
      </c>
      <c r="C4" t="s">
        <v>258</v>
      </c>
    </row>
    <row r="5" spans="1:8" x14ac:dyDescent="0.25">
      <c r="A5" t="s">
        <v>20</v>
      </c>
      <c r="B5" t="s">
        <v>10</v>
      </c>
      <c r="C5" t="s">
        <v>244</v>
      </c>
      <c r="G5" s="1"/>
      <c r="H5" s="1"/>
    </row>
    <row r="6" spans="1:8" x14ac:dyDescent="0.25">
      <c r="A6" t="s">
        <v>21</v>
      </c>
      <c r="B6" t="s">
        <v>12</v>
      </c>
      <c r="C6"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50BEC-8516-4D69-B912-8CE8CD22822A}">
  <dimension ref="A1:N22"/>
  <sheetViews>
    <sheetView topLeftCell="G1" workbookViewId="0">
      <selection activeCell="I17" sqref="I17"/>
    </sheetView>
  </sheetViews>
  <sheetFormatPr defaultRowHeight="15" x14ac:dyDescent="0.25"/>
  <cols>
    <col min="1" max="1" width="25.28515625" customWidth="1"/>
    <col min="2" max="2" width="46.42578125" customWidth="1"/>
    <col min="3" max="3" width="39.28515625" customWidth="1"/>
    <col min="4" max="4" width="23.5703125" customWidth="1"/>
    <col min="5" max="5" width="30.28515625" customWidth="1"/>
    <col min="6" max="6" width="45.85546875" customWidth="1"/>
    <col min="7" max="7" width="34.5703125" customWidth="1"/>
    <col min="8" max="8" width="37.85546875" customWidth="1"/>
    <col min="9" max="9" width="29.5703125" customWidth="1"/>
    <col min="10" max="10" width="29" customWidth="1"/>
    <col min="11" max="11" width="45.85546875" customWidth="1"/>
    <col min="12" max="12" width="24.5703125" customWidth="1"/>
    <col min="13" max="13" width="31.28515625" customWidth="1"/>
    <col min="14" max="14" width="34.5703125" customWidth="1"/>
  </cols>
  <sheetData>
    <row r="1" spans="1:14" x14ac:dyDescent="0.25">
      <c r="A1" s="1" t="s">
        <v>227</v>
      </c>
      <c r="B1" s="1" t="s">
        <v>211</v>
      </c>
      <c r="C1" s="1" t="s">
        <v>164</v>
      </c>
      <c r="D1" s="1" t="s">
        <v>165</v>
      </c>
      <c r="E1" s="1" t="s">
        <v>166</v>
      </c>
      <c r="F1" s="1" t="s">
        <v>167</v>
      </c>
      <c r="G1" s="1" t="s">
        <v>168</v>
      </c>
      <c r="H1" s="1" t="s">
        <v>169</v>
      </c>
      <c r="I1" s="1" t="s">
        <v>170</v>
      </c>
      <c r="J1" s="1" t="s">
        <v>171</v>
      </c>
      <c r="K1" s="1" t="s">
        <v>172</v>
      </c>
      <c r="L1" s="1" t="s">
        <v>173</v>
      </c>
      <c r="M1" s="1"/>
      <c r="N1" s="1"/>
    </row>
    <row r="2" spans="1:14" x14ac:dyDescent="0.25">
      <c r="A2" t="s">
        <v>19</v>
      </c>
      <c r="B2" s="2" t="s">
        <v>91</v>
      </c>
      <c r="C2" s="2" t="s">
        <v>38</v>
      </c>
      <c r="D2" t="s">
        <v>41</v>
      </c>
      <c r="E2" t="s">
        <v>50</v>
      </c>
      <c r="F2" t="s">
        <v>26</v>
      </c>
      <c r="G2" t="s">
        <v>192</v>
      </c>
      <c r="H2" s="3" t="s">
        <v>31</v>
      </c>
      <c r="I2" s="3" t="s">
        <v>32</v>
      </c>
      <c r="J2" t="s">
        <v>37</v>
      </c>
      <c r="L2" t="s">
        <v>255</v>
      </c>
    </row>
    <row r="3" spans="1:14" x14ac:dyDescent="0.25">
      <c r="A3" t="s">
        <v>20</v>
      </c>
      <c r="B3" s="2" t="s">
        <v>90</v>
      </c>
      <c r="C3" s="2" t="s">
        <v>39</v>
      </c>
      <c r="D3" t="s">
        <v>43</v>
      </c>
      <c r="E3" t="s">
        <v>25</v>
      </c>
      <c r="F3" t="s">
        <v>27</v>
      </c>
      <c r="G3" t="s">
        <v>192</v>
      </c>
      <c r="H3" s="3" t="s">
        <v>29</v>
      </c>
      <c r="I3" s="3" t="s">
        <v>33</v>
      </c>
      <c r="J3" t="s">
        <v>36</v>
      </c>
      <c r="K3" t="s">
        <v>192</v>
      </c>
      <c r="L3" t="s">
        <v>256</v>
      </c>
    </row>
    <row r="4" spans="1:14" x14ac:dyDescent="0.25">
      <c r="A4" t="s">
        <v>21</v>
      </c>
      <c r="B4" s="2" t="s">
        <v>92</v>
      </c>
      <c r="C4" s="2" t="s">
        <v>40</v>
      </c>
      <c r="D4" t="s">
        <v>42</v>
      </c>
      <c r="E4" t="s">
        <v>51</v>
      </c>
      <c r="F4" t="s">
        <v>28</v>
      </c>
      <c r="G4" t="s">
        <v>192</v>
      </c>
      <c r="H4" s="3" t="s">
        <v>30</v>
      </c>
      <c r="I4" s="3" t="s">
        <v>34</v>
      </c>
      <c r="J4" t="s">
        <v>35</v>
      </c>
      <c r="K4" t="s">
        <v>190</v>
      </c>
      <c r="L4" t="s">
        <v>257</v>
      </c>
    </row>
    <row r="20" spans="11:11" x14ac:dyDescent="0.25">
      <c r="K20" s="2"/>
    </row>
    <row r="21" spans="11:11" x14ac:dyDescent="0.25">
      <c r="K21" s="2"/>
    </row>
    <row r="22" spans="11:11" x14ac:dyDescent="0.25">
      <c r="K22" s="2"/>
    </row>
  </sheetData>
  <phoneticPr fontId="3" type="noConversion"/>
  <hyperlinks>
    <hyperlink ref="C3" r:id="rId1" xr:uid="{766A952A-9AB2-46A8-B794-BBCF63973588}"/>
    <hyperlink ref="C4" r:id="rId2" xr:uid="{37CB9746-7913-46F7-AC3D-C01FCD5553D4}"/>
    <hyperlink ref="C2" r:id="rId3" xr:uid="{507A6F35-0B3E-46FB-A13D-6E48DA09D071}"/>
    <hyperlink ref="B3" r:id="rId4" location="webpage" xr:uid="{B1CD92F6-BFF2-4AF1-B58C-811EBC7106DF}"/>
    <hyperlink ref="B2" r:id="rId5" location="webpage" xr:uid="{D453605E-7955-4D91-8C4F-F2F4DCCE7CBC}"/>
    <hyperlink ref="B4" r:id="rId6" location="webpage" xr:uid="{102E1019-BBE2-4073-A15E-418A6EAD614D}"/>
  </hyperlinks>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8F30-A1E4-4346-9058-C1C5983FA9EA}">
  <dimension ref="A1:C7"/>
  <sheetViews>
    <sheetView workbookViewId="0">
      <selection activeCell="C28" sqref="C28"/>
    </sheetView>
  </sheetViews>
  <sheetFormatPr defaultRowHeight="15" x14ac:dyDescent="0.25"/>
  <cols>
    <col min="1" max="1" width="22.7109375" customWidth="1"/>
    <col min="2" max="2" width="26.42578125" customWidth="1"/>
    <col min="3" max="3" width="21.85546875" customWidth="1"/>
  </cols>
  <sheetData>
    <row r="1" spans="1:3" x14ac:dyDescent="0.25">
      <c r="A1" s="1" t="s">
        <v>227</v>
      </c>
      <c r="B1" s="1" t="s">
        <v>235</v>
      </c>
      <c r="C1" s="1" t="s">
        <v>259</v>
      </c>
    </row>
    <row r="2" spans="1:3" x14ac:dyDescent="0.25">
      <c r="A2" t="s">
        <v>19</v>
      </c>
      <c r="B2" t="s">
        <v>198</v>
      </c>
      <c r="C2" t="s">
        <v>260</v>
      </c>
    </row>
    <row r="3" spans="1:3" x14ac:dyDescent="0.25">
      <c r="A3" t="s">
        <v>19</v>
      </c>
      <c r="B3" t="s">
        <v>196</v>
      </c>
      <c r="C3" t="s">
        <v>261</v>
      </c>
    </row>
    <row r="4" spans="1:3" x14ac:dyDescent="0.25">
      <c r="A4" t="s">
        <v>19</v>
      </c>
      <c r="B4" t="s">
        <v>197</v>
      </c>
      <c r="C4" t="s">
        <v>262</v>
      </c>
    </row>
    <row r="5" spans="1:3" x14ac:dyDescent="0.25">
      <c r="A5" t="s">
        <v>20</v>
      </c>
      <c r="B5" t="s">
        <v>196</v>
      </c>
      <c r="C5" t="s">
        <v>260</v>
      </c>
    </row>
    <row r="6" spans="1:3" x14ac:dyDescent="0.25">
      <c r="A6" t="s">
        <v>20</v>
      </c>
      <c r="B6" t="s">
        <v>199</v>
      </c>
      <c r="C6" t="s">
        <v>260</v>
      </c>
    </row>
    <row r="7" spans="1:3" x14ac:dyDescent="0.25">
      <c r="A7" t="s">
        <v>21</v>
      </c>
      <c r="B7" t="s">
        <v>195</v>
      </c>
      <c r="C7" t="s">
        <v>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BCE4-CA1D-42B8-BE59-025B28FD2E83}">
  <dimension ref="A1:L6"/>
  <sheetViews>
    <sheetView workbookViewId="0">
      <selection activeCell="E13" sqref="E13"/>
    </sheetView>
  </sheetViews>
  <sheetFormatPr defaultRowHeight="15" x14ac:dyDescent="0.25"/>
  <cols>
    <col min="1" max="1" width="19.42578125" customWidth="1"/>
    <col min="2" max="2" width="25.28515625" customWidth="1"/>
    <col min="3" max="3" width="21.28515625" customWidth="1"/>
    <col min="11" max="11" width="20.5703125" customWidth="1"/>
  </cols>
  <sheetData>
    <row r="1" spans="1:12" x14ac:dyDescent="0.25">
      <c r="A1" s="1" t="s">
        <v>227</v>
      </c>
      <c r="B1" s="1" t="s">
        <v>234</v>
      </c>
      <c r="C1" s="1" t="s">
        <v>233</v>
      </c>
    </row>
    <row r="2" spans="1:12" x14ac:dyDescent="0.25">
      <c r="A2" t="s">
        <v>19</v>
      </c>
      <c r="B2" t="s">
        <v>20</v>
      </c>
    </row>
    <row r="3" spans="1:12" x14ac:dyDescent="0.25">
      <c r="A3" t="s">
        <v>19</v>
      </c>
      <c r="B3" t="s">
        <v>21</v>
      </c>
    </row>
    <row r="4" spans="1:12" x14ac:dyDescent="0.25">
      <c r="A4" t="s">
        <v>20</v>
      </c>
      <c r="B4" t="s">
        <v>21</v>
      </c>
    </row>
    <row r="5" spans="1:12" x14ac:dyDescent="0.25">
      <c r="A5" t="s">
        <v>20</v>
      </c>
      <c r="C5" t="s">
        <v>74</v>
      </c>
      <c r="K5" s="1"/>
      <c r="L5" s="1"/>
    </row>
    <row r="6" spans="1:12" x14ac:dyDescent="0.25">
      <c r="A6" t="s">
        <v>20</v>
      </c>
      <c r="C6"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E465-CF8D-4661-A1FC-EB8B077E1F96}">
  <dimension ref="A1:E4"/>
  <sheetViews>
    <sheetView workbookViewId="0">
      <selection activeCell="A2" sqref="A2:B4"/>
    </sheetView>
  </sheetViews>
  <sheetFormatPr defaultRowHeight="15" x14ac:dyDescent="0.25"/>
  <cols>
    <col min="2" max="2" width="40.85546875" customWidth="1"/>
    <col min="3" max="3" width="29.140625" customWidth="1"/>
    <col min="4" max="4" width="41.28515625" customWidth="1"/>
    <col min="5" max="5" width="38" customWidth="1"/>
  </cols>
  <sheetData>
    <row r="1" spans="1:5" x14ac:dyDescent="0.25">
      <c r="A1" t="s">
        <v>228</v>
      </c>
      <c r="B1" s="1" t="s">
        <v>254</v>
      </c>
      <c r="C1" s="1" t="s">
        <v>45</v>
      </c>
      <c r="D1" s="1" t="s">
        <v>46</v>
      </c>
      <c r="E1" s="1" t="s">
        <v>174</v>
      </c>
    </row>
    <row r="2" spans="1:5" x14ac:dyDescent="0.25">
      <c r="A2" t="s">
        <v>255</v>
      </c>
      <c r="B2" s="2" t="s">
        <v>47</v>
      </c>
      <c r="C2" t="s">
        <v>52</v>
      </c>
      <c r="D2" s="2" t="s">
        <v>22</v>
      </c>
      <c r="E2" t="s">
        <v>193</v>
      </c>
    </row>
    <row r="3" spans="1:5" x14ac:dyDescent="0.25">
      <c r="A3" t="s">
        <v>256</v>
      </c>
      <c r="B3" s="2" t="s">
        <v>48</v>
      </c>
      <c r="C3" t="s">
        <v>24</v>
      </c>
      <c r="D3" s="2" t="s">
        <v>23</v>
      </c>
      <c r="E3" t="s">
        <v>194</v>
      </c>
    </row>
    <row r="4" spans="1:5" x14ac:dyDescent="0.25">
      <c r="A4" t="s">
        <v>257</v>
      </c>
      <c r="B4" s="2" t="s">
        <v>49</v>
      </c>
      <c r="C4" t="s">
        <v>53</v>
      </c>
      <c r="D4" s="2" t="s">
        <v>44</v>
      </c>
      <c r="E4" t="s">
        <v>190</v>
      </c>
    </row>
  </sheetData>
  <hyperlinks>
    <hyperlink ref="B2" r:id="rId1" location="website" xr:uid="{41BB6222-81B5-4FC0-864C-445F07B6643E}"/>
    <hyperlink ref="B3" r:id="rId2" location="website" xr:uid="{B1671290-F9BB-43BF-BE17-38374C11E8B0}"/>
    <hyperlink ref="B4" r:id="rId3" location="website" xr:uid="{A6726CC4-DA26-4EB2-97D5-6640D22AC9CD}"/>
    <hyperlink ref="D2" r:id="rId4" xr:uid="{0FCBE488-CFC2-4074-8D3B-B8F256D52D2B}"/>
    <hyperlink ref="D3" r:id="rId5" xr:uid="{BBC0B5B6-222D-4BB0-B0FB-814344E1CF7C}"/>
    <hyperlink ref="D4" r:id="rId6" xr:uid="{CE6A00A8-CB5A-46DE-BEB1-3A749E63A79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41B2-F31C-420D-A998-6D0EE37BED29}">
  <dimension ref="A1:H7"/>
  <sheetViews>
    <sheetView workbookViewId="0">
      <selection activeCell="C13" sqref="C13"/>
    </sheetView>
  </sheetViews>
  <sheetFormatPr defaultRowHeight="15" x14ac:dyDescent="0.25"/>
  <cols>
    <col min="2" max="2" width="43.85546875" customWidth="1"/>
    <col min="3" max="3" width="34.7109375" customWidth="1"/>
    <col min="4" max="5" width="30.85546875" customWidth="1"/>
    <col min="6" max="6" width="60" customWidth="1"/>
    <col min="7" max="7" width="34.42578125" customWidth="1"/>
    <col min="8" max="8" width="38.5703125" customWidth="1"/>
  </cols>
  <sheetData>
    <row r="1" spans="1:8" x14ac:dyDescent="0.25">
      <c r="A1" s="1" t="s">
        <v>229</v>
      </c>
      <c r="B1" s="1" t="s">
        <v>188</v>
      </c>
      <c r="C1" s="1" t="s">
        <v>175</v>
      </c>
      <c r="D1" s="1" t="s">
        <v>176</v>
      </c>
      <c r="E1" s="1" t="s">
        <v>236</v>
      </c>
      <c r="F1" s="1" t="s">
        <v>177</v>
      </c>
      <c r="G1" s="1" t="s">
        <v>3</v>
      </c>
      <c r="H1" s="1" t="s">
        <v>178</v>
      </c>
    </row>
    <row r="2" spans="1:8" ht="60" x14ac:dyDescent="0.25">
      <c r="A2" t="s">
        <v>189</v>
      </c>
      <c r="B2" s="2" t="s">
        <v>56</v>
      </c>
      <c r="C2" t="s">
        <v>54</v>
      </c>
      <c r="D2" t="s">
        <v>58</v>
      </c>
      <c r="E2" t="s">
        <v>237</v>
      </c>
      <c r="F2" s="4" t="s">
        <v>68</v>
      </c>
      <c r="G2" s="2" t="s">
        <v>55</v>
      </c>
      <c r="H2" s="2" t="s">
        <v>70</v>
      </c>
    </row>
    <row r="3" spans="1:8" ht="75" x14ac:dyDescent="0.25">
      <c r="A3" t="s">
        <v>190</v>
      </c>
      <c r="B3" s="2" t="s">
        <v>61</v>
      </c>
      <c r="C3" t="s">
        <v>57</v>
      </c>
      <c r="D3" t="s">
        <v>59</v>
      </c>
      <c r="E3" t="s">
        <v>238</v>
      </c>
      <c r="F3" s="4" t="s">
        <v>69</v>
      </c>
      <c r="G3" s="2" t="s">
        <v>67</v>
      </c>
      <c r="H3" s="2" t="s">
        <v>60</v>
      </c>
    </row>
    <row r="4" spans="1:8" ht="45" x14ac:dyDescent="0.25">
      <c r="A4" t="s">
        <v>191</v>
      </c>
      <c r="B4" s="2" t="s">
        <v>64</v>
      </c>
      <c r="C4" t="s">
        <v>62</v>
      </c>
      <c r="D4" t="s">
        <v>65</v>
      </c>
      <c r="F4" s="4" t="s">
        <v>66</v>
      </c>
      <c r="G4" s="2" t="s">
        <v>63</v>
      </c>
      <c r="H4" s="2" t="s">
        <v>71</v>
      </c>
    </row>
    <row r="5" spans="1:8" ht="30" x14ac:dyDescent="0.25">
      <c r="A5" t="s">
        <v>192</v>
      </c>
      <c r="B5" s="2" t="s">
        <v>78</v>
      </c>
      <c r="C5" t="s">
        <v>54</v>
      </c>
      <c r="D5" t="s">
        <v>76</v>
      </c>
      <c r="E5" t="s">
        <v>239</v>
      </c>
      <c r="F5" s="4" t="s">
        <v>77</v>
      </c>
      <c r="G5" s="2" t="s">
        <v>75</v>
      </c>
      <c r="H5" s="2" t="s">
        <v>79</v>
      </c>
    </row>
    <row r="6" spans="1:8" ht="30" x14ac:dyDescent="0.25">
      <c r="A6" t="s">
        <v>193</v>
      </c>
      <c r="B6" s="2" t="s">
        <v>81</v>
      </c>
      <c r="C6" t="s">
        <v>57</v>
      </c>
      <c r="D6" t="s">
        <v>82</v>
      </c>
      <c r="E6" t="s">
        <v>240</v>
      </c>
      <c r="F6" s="4" t="s">
        <v>84</v>
      </c>
      <c r="G6" s="2" t="s">
        <v>80</v>
      </c>
      <c r="H6" s="2" t="s">
        <v>83</v>
      </c>
    </row>
    <row r="7" spans="1:8" x14ac:dyDescent="0.25">
      <c r="A7" t="s">
        <v>194</v>
      </c>
      <c r="B7" s="2" t="s">
        <v>86</v>
      </c>
      <c r="C7" t="s">
        <v>62</v>
      </c>
      <c r="D7" t="s">
        <v>85</v>
      </c>
      <c r="F7" s="4" t="s">
        <v>88</v>
      </c>
      <c r="G7" s="2" t="s">
        <v>87</v>
      </c>
      <c r="H7" s="2" t="s">
        <v>89</v>
      </c>
    </row>
  </sheetData>
  <phoneticPr fontId="3" type="noConversion"/>
  <hyperlinks>
    <hyperlink ref="G2" r:id="rId1" xr:uid="{68807E13-0745-4D6B-A79E-E64E066ACD54}"/>
    <hyperlink ref="B2" r:id="rId2" location="organization" xr:uid="{3C0C9F8E-2913-4E94-91A1-2F981C572843}"/>
    <hyperlink ref="H3" r:id="rId3" xr:uid="{8A4B994A-629B-4506-85D1-96687874D54E}"/>
    <hyperlink ref="G4" r:id="rId4" xr:uid="{465A9668-3D0B-4EC0-9CA4-6038DAEBB3E5}"/>
    <hyperlink ref="B4" r:id="rId5" location="organization" xr:uid="{E29455F2-69B7-40A3-8948-4276612D8E6D}"/>
    <hyperlink ref="B3" r:id="rId6" location="organization" xr:uid="{744B500A-1A50-462B-9764-8A2C225C1C09}"/>
    <hyperlink ref="G3" r:id="rId7" xr:uid="{FBA4697D-5650-45C4-A829-1B00A0107F14}"/>
    <hyperlink ref="H2" r:id="rId8" xr:uid="{C73CFA1B-8459-47B3-B6F6-C7F01EC6CA8A}"/>
    <hyperlink ref="H4" r:id="rId9" xr:uid="{AB17DE07-3223-47B9-A2E0-0FC897A8D08A}"/>
    <hyperlink ref="G5" r:id="rId10" xr:uid="{C3DE8CAA-7489-41A1-8EE8-A8CC034FC93F}"/>
    <hyperlink ref="B5" r:id="rId11" location="organization" xr:uid="{5289ED8F-8A98-4951-AF6F-D52FB0B97999}"/>
    <hyperlink ref="H5" r:id="rId12" xr:uid="{C4AD4361-FC58-4542-BC36-8D6F2DAE2CFE}"/>
    <hyperlink ref="G6" r:id="rId13" xr:uid="{C4E1928D-96D9-45BD-BA75-A7EF8A4B5A37}"/>
    <hyperlink ref="B6" r:id="rId14" location="organization" xr:uid="{D11F6427-379E-4D47-BC9D-F398E2140D19}"/>
    <hyperlink ref="H6" r:id="rId15" xr:uid="{C87E6B7D-854D-434A-B156-464FB942CD8F}"/>
    <hyperlink ref="B7" r:id="rId16" location="organization" xr:uid="{DFBEDE46-B193-49AB-8CE5-7627230F72DF}"/>
    <hyperlink ref="G7" r:id="rId17" xr:uid="{496DB797-959F-40E4-B9F3-D90343E11544}"/>
    <hyperlink ref="H7" r:id="rId18" xr:uid="{F553018D-9C68-499E-801D-795754205D2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05625-76A6-4932-BCAF-6EB4D87EE404}">
  <dimension ref="A1:C3"/>
  <sheetViews>
    <sheetView workbookViewId="0">
      <selection activeCell="E2" sqref="E2"/>
    </sheetView>
  </sheetViews>
  <sheetFormatPr defaultRowHeight="15" x14ac:dyDescent="0.25"/>
  <cols>
    <col min="1" max="1" width="25.28515625" customWidth="1"/>
    <col min="2" max="2" width="34.140625" customWidth="1"/>
    <col min="3" max="3" width="33.28515625" customWidth="1"/>
  </cols>
  <sheetData>
    <row r="1" spans="1:3" x14ac:dyDescent="0.25">
      <c r="A1" s="1" t="s">
        <v>230</v>
      </c>
      <c r="B1" s="1" t="s">
        <v>180</v>
      </c>
      <c r="C1" s="1" t="s">
        <v>181</v>
      </c>
    </row>
    <row r="2" spans="1:3" x14ac:dyDescent="0.25">
      <c r="A2" t="s">
        <v>74</v>
      </c>
      <c r="B2" t="s">
        <v>73</v>
      </c>
      <c r="C2" s="2" t="s">
        <v>72</v>
      </c>
    </row>
    <row r="3" spans="1:3" x14ac:dyDescent="0.25">
      <c r="A3" t="s">
        <v>93</v>
      </c>
      <c r="B3" t="s">
        <v>94</v>
      </c>
      <c r="C3" s="2" t="s">
        <v>95</v>
      </c>
    </row>
  </sheetData>
  <hyperlinks>
    <hyperlink ref="C2" r:id="rId1" xr:uid="{EB3ED89D-1F3A-4371-9815-614346C12AEF}"/>
    <hyperlink ref="C3" r:id="rId2" xr:uid="{0F16FB44-0A49-4AC6-8D26-7BB30AD54AF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6E81-EE5E-482E-8AF9-709C0C08651A}">
  <dimension ref="A1:H8"/>
  <sheetViews>
    <sheetView workbookViewId="0">
      <selection activeCell="C6" sqref="C6"/>
    </sheetView>
  </sheetViews>
  <sheetFormatPr defaultRowHeight="15" x14ac:dyDescent="0.25"/>
  <cols>
    <col min="1" max="3" width="22.5703125" customWidth="1"/>
    <col min="4" max="4" width="50.5703125" customWidth="1"/>
    <col min="5" max="5" width="34" customWidth="1"/>
    <col min="6" max="6" width="55.140625" customWidth="1"/>
    <col min="7" max="7" width="26.7109375" customWidth="1"/>
    <col min="11" max="11" width="9" customWidth="1"/>
  </cols>
  <sheetData>
    <row r="1" spans="1:8" x14ac:dyDescent="0.25">
      <c r="A1" s="1" t="s">
        <v>227</v>
      </c>
      <c r="B1" s="1" t="s">
        <v>203</v>
      </c>
      <c r="C1" s="1" t="s">
        <v>241</v>
      </c>
      <c r="D1" s="1" t="s">
        <v>8</v>
      </c>
      <c r="E1" s="1" t="s">
        <v>0</v>
      </c>
      <c r="F1" s="1" t="s">
        <v>9</v>
      </c>
      <c r="G1" s="1" t="s">
        <v>1</v>
      </c>
      <c r="H1" s="1"/>
    </row>
    <row r="2" spans="1:8" x14ac:dyDescent="0.25">
      <c r="A2" t="s">
        <v>20</v>
      </c>
      <c r="B2" t="s">
        <v>204</v>
      </c>
      <c r="C2">
        <f t="shared" ref="C2:C8" si="0">_xlfn.NUMBERVALUE(RIGHT(D2, LEN(D2) - (FIND("-", D2) + 1)), ".", ",")</f>
        <v>1</v>
      </c>
      <c r="D2" s="2" t="s">
        <v>96</v>
      </c>
      <c r="E2" t="s">
        <v>110</v>
      </c>
      <c r="F2" s="2" t="s">
        <v>99</v>
      </c>
      <c r="G2" t="s">
        <v>111</v>
      </c>
    </row>
    <row r="3" spans="1:8" x14ac:dyDescent="0.25">
      <c r="A3" t="s">
        <v>20</v>
      </c>
      <c r="B3" t="s">
        <v>206</v>
      </c>
      <c r="C3">
        <f t="shared" si="0"/>
        <v>2</v>
      </c>
      <c r="D3" s="2" t="s">
        <v>97</v>
      </c>
      <c r="E3" t="s">
        <v>112</v>
      </c>
      <c r="F3" s="2" t="s">
        <v>100</v>
      </c>
      <c r="G3" t="s">
        <v>113</v>
      </c>
    </row>
    <row r="4" spans="1:8" x14ac:dyDescent="0.25">
      <c r="A4" t="s">
        <v>20</v>
      </c>
      <c r="B4" t="s">
        <v>205</v>
      </c>
      <c r="C4">
        <f t="shared" si="0"/>
        <v>3</v>
      </c>
      <c r="D4" s="2" t="s">
        <v>98</v>
      </c>
      <c r="E4" t="s">
        <v>114</v>
      </c>
      <c r="F4" s="2" t="s">
        <v>101</v>
      </c>
      <c r="G4" t="s">
        <v>115</v>
      </c>
    </row>
    <row r="5" spans="1:8" x14ac:dyDescent="0.25">
      <c r="A5" t="s">
        <v>21</v>
      </c>
      <c r="B5" t="s">
        <v>207</v>
      </c>
      <c r="C5">
        <f t="shared" si="0"/>
        <v>1</v>
      </c>
      <c r="D5" s="2" t="s">
        <v>102</v>
      </c>
      <c r="E5" t="s">
        <v>117</v>
      </c>
      <c r="F5" s="2" t="s">
        <v>106</v>
      </c>
      <c r="G5" t="s">
        <v>116</v>
      </c>
    </row>
    <row r="6" spans="1:8" x14ac:dyDescent="0.25">
      <c r="A6" t="s">
        <v>21</v>
      </c>
      <c r="B6" t="s">
        <v>208</v>
      </c>
      <c r="C6">
        <f t="shared" si="0"/>
        <v>2</v>
      </c>
      <c r="D6" s="2" t="s">
        <v>103</v>
      </c>
      <c r="E6" t="s">
        <v>119</v>
      </c>
      <c r="F6" s="2" t="s">
        <v>107</v>
      </c>
      <c r="G6" t="s">
        <v>118</v>
      </c>
    </row>
    <row r="7" spans="1:8" x14ac:dyDescent="0.25">
      <c r="A7" t="s">
        <v>21</v>
      </c>
      <c r="B7" t="s">
        <v>209</v>
      </c>
      <c r="C7">
        <f t="shared" si="0"/>
        <v>3</v>
      </c>
      <c r="D7" s="2" t="s">
        <v>104</v>
      </c>
      <c r="E7" t="s">
        <v>120</v>
      </c>
      <c r="F7" s="2" t="s">
        <v>108</v>
      </c>
      <c r="G7" t="s">
        <v>121</v>
      </c>
    </row>
    <row r="8" spans="1:8" x14ac:dyDescent="0.25">
      <c r="A8" t="s">
        <v>21</v>
      </c>
      <c r="B8" t="s">
        <v>210</v>
      </c>
      <c r="C8">
        <f t="shared" si="0"/>
        <v>4</v>
      </c>
      <c r="D8" s="2" t="s">
        <v>105</v>
      </c>
      <c r="E8" t="s">
        <v>122</v>
      </c>
      <c r="F8" s="2" t="s">
        <v>109</v>
      </c>
      <c r="G8" t="s">
        <v>123</v>
      </c>
    </row>
  </sheetData>
  <phoneticPr fontId="3" type="noConversion"/>
  <hyperlinks>
    <hyperlink ref="D2" r:id="rId1" location="faq-q1" xr:uid="{126B75D8-4BB9-447B-B058-92F686B91CF4}"/>
    <hyperlink ref="D3" r:id="rId2" location="faq-q2" xr:uid="{A6B76827-B9A4-4892-AF69-5D688220001C}"/>
    <hyperlink ref="D4" r:id="rId3" location="faq-q3" xr:uid="{6EC7A169-E8C0-4295-A5F9-DA569A4277D4}"/>
    <hyperlink ref="F2" r:id="rId4" location="faq-q1-a" xr:uid="{1718F111-3B98-499A-B423-542F26E441C2}"/>
    <hyperlink ref="F3" r:id="rId5" location="faq-q2-a" xr:uid="{A56ABDC7-D85E-4964-8815-7E0CDD08FCD7}"/>
    <hyperlink ref="F4" r:id="rId6" location="faq-q3-a" xr:uid="{240DA749-6442-4209-8F74-A3DC46C2A643}"/>
    <hyperlink ref="D5" r:id="rId7" location="faq-q1" xr:uid="{B9A8901B-C820-4F0A-9B4E-037900D8F0D9}"/>
    <hyperlink ref="D6" r:id="rId8" location="faq-q2" xr:uid="{3E3B1CE7-9133-41CA-B603-13E54D6CE691}"/>
    <hyperlink ref="D7" r:id="rId9" location="faq-q3" xr:uid="{B4464B90-8BDB-478E-98DC-13BA95197225}"/>
    <hyperlink ref="D8" r:id="rId10" location="faq-q4" xr:uid="{7A28D4BC-9C80-434D-830C-3F911C24AA31}"/>
    <hyperlink ref="F5" r:id="rId11" location="faq-q1-a" xr:uid="{EC35FB09-5991-4C44-BB40-D6640EB06EF5}"/>
    <hyperlink ref="F6" r:id="rId12" location="faq-q2-a" xr:uid="{460C35A8-F731-4339-9C3A-47BFA004A81D}"/>
    <hyperlink ref="F7" r:id="rId13" location="faq-q3-a" xr:uid="{99199554-CA40-4A63-A3DD-93B3046BBFF5}"/>
    <hyperlink ref="F8" r:id="rId14" location="faq-q4-a" xr:uid="{0A29DC11-598A-46E9-9B5F-DAF85DE6DDA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C786-D5C3-4E91-8E6E-2F5BB81B09A9}">
  <dimension ref="A1:D2"/>
  <sheetViews>
    <sheetView workbookViewId="0">
      <selection activeCell="B11" sqref="B11"/>
    </sheetView>
  </sheetViews>
  <sheetFormatPr defaultRowHeight="15" x14ac:dyDescent="0.25"/>
  <cols>
    <col min="1" max="1" width="28.5703125" customWidth="1"/>
    <col min="2" max="2" width="50.7109375" customWidth="1"/>
    <col min="3" max="3" width="29.140625" customWidth="1"/>
  </cols>
  <sheetData>
    <row r="1" spans="1:4" x14ac:dyDescent="0.25">
      <c r="A1" s="1" t="s">
        <v>227</v>
      </c>
      <c r="B1" s="1" t="s">
        <v>182</v>
      </c>
      <c r="C1" s="1" t="s">
        <v>183</v>
      </c>
      <c r="D1" s="1" t="s">
        <v>242</v>
      </c>
    </row>
    <row r="2" spans="1:4" x14ac:dyDescent="0.25">
      <c r="A2" t="s">
        <v>19</v>
      </c>
      <c r="B2" t="s">
        <v>124</v>
      </c>
      <c r="C2" t="s">
        <v>152</v>
      </c>
      <c r="D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5369-8E7E-4ED4-A75B-EA88EC017345}">
  <dimension ref="A1:B4"/>
  <sheetViews>
    <sheetView workbookViewId="0"/>
  </sheetViews>
  <sheetFormatPr defaultRowHeight="15" x14ac:dyDescent="0.25"/>
  <cols>
    <col min="1" max="1" width="36" customWidth="1"/>
    <col min="2" max="2" width="109.42578125" customWidth="1"/>
  </cols>
  <sheetData>
    <row r="1" spans="1:2" x14ac:dyDescent="0.25">
      <c r="A1" s="1" t="s">
        <v>231</v>
      </c>
      <c r="B1" s="1" t="s">
        <v>2</v>
      </c>
    </row>
    <row r="2" spans="1:2" x14ac:dyDescent="0.25">
      <c r="A2" t="s">
        <v>126</v>
      </c>
      <c r="B2" t="s">
        <v>125</v>
      </c>
    </row>
    <row r="3" spans="1:2" x14ac:dyDescent="0.25">
      <c r="A3" t="s">
        <v>127</v>
      </c>
      <c r="B3" t="s">
        <v>128</v>
      </c>
    </row>
    <row r="4" spans="1:2" x14ac:dyDescent="0.25">
      <c r="A4" t="s">
        <v>129</v>
      </c>
      <c r="B4" t="s">
        <v>130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C2D94-48F3-4EEC-B665-9E01EA042E4A}">
  <dimension ref="A1:M9"/>
  <sheetViews>
    <sheetView workbookViewId="0">
      <selection activeCell="B13" sqref="B13"/>
    </sheetView>
  </sheetViews>
  <sheetFormatPr defaultRowHeight="15" x14ac:dyDescent="0.25"/>
  <cols>
    <col min="1" max="1" width="25.42578125" customWidth="1"/>
    <col min="2" max="2" width="30.7109375" customWidth="1"/>
  </cols>
  <sheetData>
    <row r="1" spans="1:13" x14ac:dyDescent="0.25">
      <c r="A1" s="1" t="s">
        <v>227</v>
      </c>
      <c r="B1" s="1" t="s">
        <v>231</v>
      </c>
    </row>
    <row r="2" spans="1:13" x14ac:dyDescent="0.25">
      <c r="A2" t="s">
        <v>19</v>
      </c>
      <c r="B2" t="s">
        <v>126</v>
      </c>
    </row>
    <row r="3" spans="1:13" x14ac:dyDescent="0.25">
      <c r="A3" t="s">
        <v>19</v>
      </c>
      <c r="B3" t="s">
        <v>127</v>
      </c>
    </row>
    <row r="4" spans="1:13" x14ac:dyDescent="0.25">
      <c r="A4" t="s">
        <v>20</v>
      </c>
      <c r="B4" t="s">
        <v>126</v>
      </c>
    </row>
    <row r="9" spans="1:13" x14ac:dyDescent="0.25">
      <c r="L9" s="1"/>
      <c r="M9"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854E-1988-41C3-AAD6-14DA6BD406A8}">
  <dimension ref="A1:H9"/>
  <sheetViews>
    <sheetView workbookViewId="0">
      <selection activeCell="G25" sqref="G25"/>
    </sheetView>
  </sheetViews>
  <sheetFormatPr defaultRowHeight="15" x14ac:dyDescent="0.25"/>
  <cols>
    <col min="1" max="1" width="35.140625" customWidth="1"/>
    <col min="2" max="2" width="24.7109375" customWidth="1"/>
    <col min="3" max="3" width="16.7109375" customWidth="1"/>
    <col min="4" max="4" width="28.140625" customWidth="1"/>
    <col min="5" max="5" width="24.7109375" customWidth="1"/>
    <col min="6" max="6" width="28.140625" customWidth="1"/>
    <col min="7" max="7" width="20.5703125" customWidth="1"/>
  </cols>
  <sheetData>
    <row r="1" spans="1:8" x14ac:dyDescent="0.25">
      <c r="A1" s="1" t="s">
        <v>227</v>
      </c>
      <c r="B1" s="1" t="s">
        <v>184</v>
      </c>
      <c r="C1" s="1" t="s">
        <v>249</v>
      </c>
      <c r="D1" s="1" t="s">
        <v>212</v>
      </c>
      <c r="E1" s="1" t="s">
        <v>221</v>
      </c>
      <c r="F1" s="1" t="s">
        <v>250</v>
      </c>
      <c r="G1" s="1" t="s">
        <v>251</v>
      </c>
      <c r="H1" s="1" t="s">
        <v>252</v>
      </c>
    </row>
    <row r="2" spans="1:8" x14ac:dyDescent="0.25">
      <c r="A2" t="s">
        <v>19</v>
      </c>
      <c r="B2" t="s">
        <v>153</v>
      </c>
      <c r="C2">
        <f t="shared" ref="C2:C9" si="0">_xlfn.NUMBERVALUE(_xlfn.TEXTAFTER(B2, "_", -1), ".", ",")</f>
        <v>1</v>
      </c>
      <c r="D2" t="s">
        <v>213</v>
      </c>
      <c r="E2" t="s">
        <v>222</v>
      </c>
      <c r="F2" s="3" t="s">
        <v>223</v>
      </c>
      <c r="G2">
        <v>512</v>
      </c>
      <c r="H2" t="s">
        <v>253</v>
      </c>
    </row>
    <row r="3" spans="1:8" x14ac:dyDescent="0.25">
      <c r="A3" t="s">
        <v>20</v>
      </c>
      <c r="B3" t="s">
        <v>154</v>
      </c>
      <c r="C3">
        <f t="shared" si="0"/>
        <v>1</v>
      </c>
      <c r="D3" t="s">
        <v>217</v>
      </c>
      <c r="E3" t="s">
        <v>222</v>
      </c>
      <c r="F3" s="3" t="s">
        <v>224</v>
      </c>
      <c r="G3">
        <v>512</v>
      </c>
      <c r="H3" t="s">
        <v>253</v>
      </c>
    </row>
    <row r="4" spans="1:8" x14ac:dyDescent="0.25">
      <c r="A4" t="s">
        <v>20</v>
      </c>
      <c r="B4" t="s">
        <v>155</v>
      </c>
      <c r="C4">
        <f t="shared" si="0"/>
        <v>2</v>
      </c>
      <c r="D4" t="s">
        <v>214</v>
      </c>
      <c r="E4" t="s">
        <v>222</v>
      </c>
      <c r="F4" s="3" t="s">
        <v>224</v>
      </c>
      <c r="G4">
        <v>512</v>
      </c>
      <c r="H4" t="s">
        <v>253</v>
      </c>
    </row>
    <row r="5" spans="1:8" x14ac:dyDescent="0.25">
      <c r="A5" t="s">
        <v>20</v>
      </c>
      <c r="B5" t="s">
        <v>156</v>
      </c>
      <c r="C5">
        <f t="shared" si="0"/>
        <v>3</v>
      </c>
      <c r="D5" t="s">
        <v>215</v>
      </c>
      <c r="E5" t="s">
        <v>222</v>
      </c>
      <c r="F5" s="3" t="s">
        <v>224</v>
      </c>
      <c r="G5">
        <v>512</v>
      </c>
      <c r="H5" t="s">
        <v>253</v>
      </c>
    </row>
    <row r="6" spans="1:8" x14ac:dyDescent="0.25">
      <c r="A6" t="s">
        <v>21</v>
      </c>
      <c r="B6" t="s">
        <v>157</v>
      </c>
      <c r="C6">
        <f t="shared" si="0"/>
        <v>1</v>
      </c>
      <c r="D6" t="s">
        <v>216</v>
      </c>
      <c r="E6" t="s">
        <v>222</v>
      </c>
      <c r="F6" s="3" t="s">
        <v>225</v>
      </c>
      <c r="G6">
        <v>512</v>
      </c>
      <c r="H6" t="s">
        <v>253</v>
      </c>
    </row>
    <row r="7" spans="1:8" x14ac:dyDescent="0.25">
      <c r="A7" t="s">
        <v>21</v>
      </c>
      <c r="B7" t="s">
        <v>158</v>
      </c>
      <c r="C7">
        <f t="shared" si="0"/>
        <v>2</v>
      </c>
      <c r="D7" t="s">
        <v>218</v>
      </c>
      <c r="E7" t="s">
        <v>222</v>
      </c>
      <c r="F7" s="3" t="s">
        <v>225</v>
      </c>
      <c r="G7">
        <v>512</v>
      </c>
      <c r="H7" t="s">
        <v>253</v>
      </c>
    </row>
    <row r="8" spans="1:8" x14ac:dyDescent="0.25">
      <c r="A8" t="s">
        <v>21</v>
      </c>
      <c r="B8" t="s">
        <v>159</v>
      </c>
      <c r="C8">
        <f t="shared" si="0"/>
        <v>3</v>
      </c>
      <c r="D8" t="s">
        <v>219</v>
      </c>
      <c r="E8" t="s">
        <v>222</v>
      </c>
      <c r="F8" s="3" t="s">
        <v>225</v>
      </c>
      <c r="G8">
        <v>512</v>
      </c>
      <c r="H8" t="s">
        <v>253</v>
      </c>
    </row>
    <row r="9" spans="1:8" x14ac:dyDescent="0.25">
      <c r="A9" t="s">
        <v>21</v>
      </c>
      <c r="B9" t="s">
        <v>160</v>
      </c>
      <c r="C9">
        <f t="shared" si="0"/>
        <v>4</v>
      </c>
      <c r="D9" t="s">
        <v>220</v>
      </c>
      <c r="E9" t="s">
        <v>222</v>
      </c>
      <c r="F9" s="3" t="s">
        <v>225</v>
      </c>
      <c r="G9">
        <v>512</v>
      </c>
      <c r="H9" t="s">
        <v>253</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9D8C-BDBC-4EC5-8584-14837005B6B0}">
  <dimension ref="A1:D10"/>
  <sheetViews>
    <sheetView workbookViewId="0">
      <selection activeCell="D12" sqref="D12"/>
    </sheetView>
  </sheetViews>
  <sheetFormatPr defaultRowHeight="15" x14ac:dyDescent="0.25"/>
  <cols>
    <col min="1" max="1" width="24.140625" customWidth="1"/>
    <col min="2" max="2" width="39" customWidth="1"/>
    <col min="3" max="3" width="39.140625" customWidth="1"/>
    <col min="4" max="4" width="38.28515625" customWidth="1"/>
  </cols>
  <sheetData>
    <row r="1" spans="1:4" x14ac:dyDescent="0.25">
      <c r="A1" s="1" t="s">
        <v>232</v>
      </c>
      <c r="B1" s="1" t="s">
        <v>185</v>
      </c>
      <c r="C1" s="1" t="s">
        <v>186</v>
      </c>
      <c r="D1" s="1" t="s">
        <v>187</v>
      </c>
    </row>
    <row r="2" spans="1:4" x14ac:dyDescent="0.25">
      <c r="A2" t="s">
        <v>195</v>
      </c>
      <c r="B2" t="s">
        <v>131</v>
      </c>
      <c r="C2" s="2" t="s">
        <v>132</v>
      </c>
    </row>
    <row r="3" spans="1:4" x14ac:dyDescent="0.25">
      <c r="A3" t="s">
        <v>196</v>
      </c>
      <c r="B3" t="s">
        <v>133</v>
      </c>
      <c r="C3" s="2" t="s">
        <v>134</v>
      </c>
      <c r="D3" t="s">
        <v>135</v>
      </c>
    </row>
    <row r="4" spans="1:4" x14ac:dyDescent="0.25">
      <c r="A4" t="s">
        <v>197</v>
      </c>
      <c r="B4" t="s">
        <v>136</v>
      </c>
      <c r="D4" t="s">
        <v>137</v>
      </c>
    </row>
    <row r="5" spans="1:4" x14ac:dyDescent="0.25">
      <c r="A5" t="s">
        <v>198</v>
      </c>
      <c r="B5" t="s">
        <v>138</v>
      </c>
      <c r="C5" s="2" t="s">
        <v>139</v>
      </c>
    </row>
    <row r="6" spans="1:4" x14ac:dyDescent="0.25">
      <c r="A6" t="s">
        <v>199</v>
      </c>
      <c r="B6" t="s">
        <v>140</v>
      </c>
      <c r="C6" s="2" t="s">
        <v>141</v>
      </c>
      <c r="D6" t="s">
        <v>142</v>
      </c>
    </row>
    <row r="7" spans="1:4" x14ac:dyDescent="0.25">
      <c r="A7" t="s">
        <v>200</v>
      </c>
      <c r="B7" t="s">
        <v>143</v>
      </c>
      <c r="C7" s="2" t="s">
        <v>150</v>
      </c>
      <c r="D7" t="s">
        <v>145</v>
      </c>
    </row>
    <row r="8" spans="1:4" x14ac:dyDescent="0.25">
      <c r="A8" t="s">
        <v>201</v>
      </c>
      <c r="B8" t="s">
        <v>144</v>
      </c>
      <c r="C8" s="2" t="s">
        <v>149</v>
      </c>
      <c r="D8" t="s">
        <v>148</v>
      </c>
    </row>
    <row r="9" spans="1:4" x14ac:dyDescent="0.25">
      <c r="A9" t="s">
        <v>202</v>
      </c>
      <c r="B9" t="s">
        <v>146</v>
      </c>
      <c r="C9" s="2" t="s">
        <v>151</v>
      </c>
      <c r="D9" t="s">
        <v>147</v>
      </c>
    </row>
    <row r="10" spans="1:4" x14ac:dyDescent="0.25">
      <c r="C10" s="2"/>
    </row>
  </sheetData>
  <phoneticPr fontId="3" type="noConversion"/>
  <hyperlinks>
    <hyperlink ref="C2" r:id="rId1" xr:uid="{77049636-544F-4C5B-AA99-5E4BA08092F0}"/>
    <hyperlink ref="C3" r:id="rId2" xr:uid="{2AC93E26-1C80-4F68-BF49-E6040890BA8E}"/>
    <hyperlink ref="C5" r:id="rId3" xr:uid="{788A9B32-96CE-4234-A278-7B72FCFF6366}"/>
    <hyperlink ref="C6" r:id="rId4" xr:uid="{7DC4AB0F-95F0-4999-9A63-24BA173F34E3}"/>
    <hyperlink ref="C8" r:id="rId5" xr:uid="{507901C9-08D7-4E86-8FA3-3D40CEB9AB2E}"/>
    <hyperlink ref="C7" r:id="rId6" xr:uid="{4ABA5D27-B8F4-42C6-B76A-11A082A54D3B}"/>
    <hyperlink ref="C9" r:id="rId7" xr:uid="{2D60254D-8DAE-49C8-8A71-9DEBB3C798B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D351-E902-49FB-B897-CA5449BC52C2}">
  <dimension ref="A1:B3"/>
  <sheetViews>
    <sheetView workbookViewId="0">
      <selection activeCell="H19" sqref="H19"/>
    </sheetView>
  </sheetViews>
  <sheetFormatPr defaultRowHeight="15" x14ac:dyDescent="0.25"/>
  <cols>
    <col min="1" max="1" width="25" customWidth="1"/>
    <col min="2" max="2" width="24.28515625" customWidth="1"/>
  </cols>
  <sheetData>
    <row r="1" spans="1:2" x14ac:dyDescent="0.25">
      <c r="A1" s="1" t="s">
        <v>232</v>
      </c>
      <c r="B1" s="1" t="s">
        <v>161</v>
      </c>
    </row>
    <row r="2" spans="1:2" x14ac:dyDescent="0.25">
      <c r="A2" t="s">
        <v>202</v>
      </c>
      <c r="B2" t="s">
        <v>163</v>
      </c>
    </row>
    <row r="3" spans="1:2" x14ac:dyDescent="0.25">
      <c r="A3" t="s">
        <v>202</v>
      </c>
      <c r="B3" t="s">
        <v>162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0FE2-485A-4A44-99A1-641F2216F362}">
  <dimension ref="A1:D15"/>
  <sheetViews>
    <sheetView workbookViewId="0">
      <selection activeCell="D15" sqref="D15"/>
    </sheetView>
  </sheetViews>
  <sheetFormatPr defaultRowHeight="15" x14ac:dyDescent="0.25"/>
  <cols>
    <col min="1" max="1" width="27.85546875" customWidth="1"/>
    <col min="2" max="2" width="32.85546875" customWidth="1"/>
    <col min="3" max="3" width="22.42578125" customWidth="1"/>
    <col min="4" max="4" width="35.5703125" customWidth="1"/>
  </cols>
  <sheetData>
    <row r="1" spans="1:4" x14ac:dyDescent="0.25">
      <c r="A1" s="1" t="s">
        <v>229</v>
      </c>
      <c r="B1" s="1" t="s">
        <v>179</v>
      </c>
      <c r="D1" s="1"/>
    </row>
    <row r="2" spans="1:4" x14ac:dyDescent="0.25">
      <c r="A2" t="s">
        <v>189</v>
      </c>
      <c r="B2" t="s">
        <v>198</v>
      </c>
      <c r="D2" s="4"/>
    </row>
    <row r="3" spans="1:4" x14ac:dyDescent="0.25">
      <c r="A3" t="s">
        <v>189</v>
      </c>
      <c r="B3" t="s">
        <v>196</v>
      </c>
      <c r="D3" s="4"/>
    </row>
    <row r="4" spans="1:4" x14ac:dyDescent="0.25">
      <c r="A4" t="s">
        <v>189</v>
      </c>
      <c r="B4" t="s">
        <v>197</v>
      </c>
      <c r="D4" s="4"/>
    </row>
    <row r="5" spans="1:4" x14ac:dyDescent="0.25">
      <c r="A5" t="s">
        <v>190</v>
      </c>
      <c r="B5" t="s">
        <v>196</v>
      </c>
      <c r="D5" s="4"/>
    </row>
    <row r="6" spans="1:4" x14ac:dyDescent="0.25">
      <c r="A6" t="s">
        <v>191</v>
      </c>
      <c r="B6" t="s">
        <v>198</v>
      </c>
      <c r="D6" s="4"/>
    </row>
    <row r="7" spans="1:4" x14ac:dyDescent="0.25">
      <c r="A7" t="s">
        <v>191</v>
      </c>
      <c r="B7" t="s">
        <v>197</v>
      </c>
      <c r="D7" s="4"/>
    </row>
    <row r="8" spans="1:4" x14ac:dyDescent="0.25">
      <c r="A8" t="s">
        <v>192</v>
      </c>
      <c r="B8" t="s">
        <v>198</v>
      </c>
    </row>
    <row r="9" spans="1:4" x14ac:dyDescent="0.25">
      <c r="A9" t="s">
        <v>192</v>
      </c>
      <c r="B9" t="s">
        <v>199</v>
      </c>
    </row>
    <row r="10" spans="1:4" x14ac:dyDescent="0.25">
      <c r="A10" t="s">
        <v>192</v>
      </c>
      <c r="B10" t="s">
        <v>197</v>
      </c>
    </row>
    <row r="11" spans="1:4" x14ac:dyDescent="0.25">
      <c r="A11" t="s">
        <v>192</v>
      </c>
      <c r="B11" t="s">
        <v>200</v>
      </c>
    </row>
    <row r="12" spans="1:4" x14ac:dyDescent="0.25">
      <c r="A12" t="s">
        <v>192</v>
      </c>
      <c r="B12" t="s">
        <v>201</v>
      </c>
    </row>
    <row r="13" spans="1:4" x14ac:dyDescent="0.25">
      <c r="A13" t="s">
        <v>192</v>
      </c>
      <c r="B13" t="s">
        <v>202</v>
      </c>
    </row>
    <row r="14" spans="1:4" x14ac:dyDescent="0.25">
      <c r="A14" t="s">
        <v>193</v>
      </c>
      <c r="B14" t="s">
        <v>196</v>
      </c>
    </row>
    <row r="15" spans="1:4" x14ac:dyDescent="0.25">
      <c r="A15" t="s">
        <v>193</v>
      </c>
      <c r="B15"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adytosendy_x002f_n xmlns="d0408138-5b4c-4df3-9e62-c268ce5ad134" xsi:nil="true"/>
    <_dlc_DocId xmlns="15ecf9ca-56e7-496a-a0ba-56f3f0e97a38">A6SYCQ5DCTPK-1944563297-11249</_dlc_DocId>
    <kef50b0e48db46eabf3b17ba9e38a774 xmlns="d0408138-5b4c-4df3-9e62-c268ce5ad134">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4853f9bf-723b-4d78-be55-781858c49d5a</TermId>
        </TermInfo>
      </Terms>
    </kef50b0e48db46eabf3b17ba9e38a774>
    <ha68a150a779463ba86bdcf8b4cd5d37 xmlns="d0408138-5b4c-4df3-9e62-c268ce5ad134">
      <Terms xmlns="http://schemas.microsoft.com/office/infopath/2007/PartnerControls">
        <TermInfo xmlns="http://schemas.microsoft.com/office/infopath/2007/PartnerControls">
          <TermName xmlns="http://schemas.microsoft.com/office/infopath/2007/PartnerControls">62625</TermName>
          <TermId xmlns="http://schemas.microsoft.com/office/infopath/2007/PartnerControls">f8c64807-6b86-4213-8e81-7e150d16f081</TermId>
        </TermInfo>
      </Terms>
    </ha68a150a779463ba86bdcf8b4cd5d37>
    <_dlc_DocIdUrl xmlns="15ecf9ca-56e7-496a-a0ba-56f3f0e97a38">
      <Url>https://ipagov.sharepoint.com/sites/IPAVentures/_layouts/15/DocIdRedir.aspx?ID=A6SYCQ5DCTPK-1944563297-11249</Url>
      <Description>A6SYCQ5DCTPK-1944563297-11249</Description>
    </_dlc_DocIdUrl>
    <SentRhys xmlns="d0408138-5b4c-4df3-9e62-c268ce5ad134" xsi:nil="true"/>
    <kcd22347e3bb4e789dff585e1d2dc435 xmlns="d0408138-5b4c-4df3-9e62-c268ce5ad134">
      <Terms xmlns="http://schemas.microsoft.com/office/infopath/2007/PartnerControls"/>
    </kcd22347e3bb4e789dff585e1d2dc435>
    <lcf76f155ced4ddcb4097134ff3c332f xmlns="d0408138-5b4c-4df3-9e62-c268ce5ad134">
      <Terms xmlns="http://schemas.microsoft.com/office/infopath/2007/PartnerControls"/>
    </lcf76f155ced4ddcb4097134ff3c332f>
    <TaxCatchAll xmlns="15ecf9ca-56e7-496a-a0ba-56f3f0e97a38">
      <Value>2</Value>
      <Value>1</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552FF6B21D054C897DA953F09932C9" ma:contentTypeVersion="28" ma:contentTypeDescription="Create a new document." ma:contentTypeScope="" ma:versionID="0d093a92477d62bf7c7c3c2cda4ea609">
  <xsd:schema xmlns:xsd="http://www.w3.org/2001/XMLSchema" xmlns:xs="http://www.w3.org/2001/XMLSchema" xmlns:p="http://schemas.microsoft.com/office/2006/metadata/properties" xmlns:ns2="15ecf9ca-56e7-496a-a0ba-56f3f0e97a38" xmlns:ns3="d0408138-5b4c-4df3-9e62-c268ce5ad134" targetNamespace="http://schemas.microsoft.com/office/2006/metadata/properties" ma:root="true" ma:fieldsID="5901f4e871cb1a9b0f3eee6f2be7073c" ns2:_="" ns3:_="">
    <xsd:import namespace="15ecf9ca-56e7-496a-a0ba-56f3f0e97a38"/>
    <xsd:import namespace="d0408138-5b4c-4df3-9e62-c268ce5ad134"/>
    <xsd:element name="properties">
      <xsd:complexType>
        <xsd:sequence>
          <xsd:element name="documentManagement">
            <xsd:complexType>
              <xsd:all>
                <xsd:element ref="ns2:_dlc_DocId" minOccurs="0"/>
                <xsd:element ref="ns2:_dlc_DocIdUrl" minOccurs="0"/>
                <xsd:element ref="ns2:_dlc_DocIdPersistId" minOccurs="0"/>
                <xsd:element ref="ns3:kef50b0e48db46eabf3b17ba9e38a774" minOccurs="0"/>
                <xsd:element ref="ns2:TaxCatchAll" minOccurs="0"/>
                <xsd:element ref="ns3:ha68a150a779463ba86bdcf8b4cd5d37" minOccurs="0"/>
                <xsd:element ref="ns3:kcd22347e3bb4e789dff585e1d2dc435"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3:MediaServiceBillingMetadata" minOccurs="0"/>
                <xsd:element ref="ns3:Readytosendy_x002f_n" minOccurs="0"/>
                <xsd:element ref="ns3:SentRhy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ecf9ca-56e7-496a-a0ba-56f3f0e97a3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hidden="true" ma:list="{99112c3d-721e-45cd-9cef-3dea7c799477}" ma:internalName="TaxCatchAll" ma:showField="CatchAllData" ma:web="15ecf9ca-56e7-496a-a0ba-56f3f0e97a38">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08138-5b4c-4df3-9e62-c268ce5ad134" elementFormDefault="qualified">
    <xsd:import namespace="http://schemas.microsoft.com/office/2006/documentManagement/types"/>
    <xsd:import namespace="http://schemas.microsoft.com/office/infopath/2007/PartnerControls"/>
    <xsd:element name="kef50b0e48db46eabf3b17ba9e38a774" ma:index="12" ma:taxonomy="true" ma:internalName="kef50b0e48db46eabf3b17ba9e38a774" ma:taxonomyFieldName="Protective_x0020_Marking" ma:displayName="Protective Marking" ma:default="1;#Official|4853f9bf-723b-4d78-be55-781858c49d5a" ma:fieldId="{4ef50b0e-48db-46ea-bf3b-17ba9e38a774}" ma:sspId="1400d69b-c4ee-4dab-8955-6fb8aa649365" ma:termSetId="097b9bd7-9625-44c0-bf7b-b786f477a603" ma:anchorId="00000000-0000-0000-0000-000000000000" ma:open="false" ma:isKeyword="false">
      <xsd:complexType>
        <xsd:sequence>
          <xsd:element ref="pc:Terms" minOccurs="0" maxOccurs="1"/>
        </xsd:sequence>
      </xsd:complexType>
    </xsd:element>
    <xsd:element name="ha68a150a779463ba86bdcf8b4cd5d37" ma:index="15" ma:taxonomy="true" ma:internalName="ha68a150a779463ba86bdcf8b4cd5d37" ma:taxonomyFieldName="Disposal_x0020_Class" ma:displayName="Disposal Class" ma:default="2;#62625|f8c64807-6b86-4213-8e81-7e150d16f081" ma:fieldId="{1a68a150-a779-463b-a86b-dcf8b4cd5d37}" ma:sspId="1400d69b-c4ee-4dab-8955-6fb8aa649365" ma:termSetId="fa51789b-4566-4725-8c81-830dbb1c3336" ma:anchorId="00000000-0000-0000-0000-000000000000" ma:open="false" ma:isKeyword="false">
      <xsd:complexType>
        <xsd:sequence>
          <xsd:element ref="pc:Terms" minOccurs="0" maxOccurs="1"/>
        </xsd:sequence>
      </xsd:complexType>
    </xsd:element>
    <xsd:element name="kcd22347e3bb4e789dff585e1d2dc435" ma:index="17" nillable="true" ma:taxonomy="true" ma:internalName="kcd22347e3bb4e789dff585e1d2dc435" ma:taxonomyFieldName="DLM" ma:displayName="DLM" ma:default="" ma:fieldId="{4cd22347-e3bb-4e78-9dff-585e1d2dc435}" ma:sspId="1400d69b-c4ee-4dab-8955-6fb8aa649365" ma:termSetId="e9c921e6-90aa-41dc-8d49-0d388ba89ad8" ma:anchorId="00000000-0000-0000-0000-000000000000" ma:open="false" ma:isKeyword="false">
      <xsd:complexType>
        <xsd:sequence>
          <xsd:element ref="pc:Terms" minOccurs="0" maxOccurs="1"/>
        </xsd:sequence>
      </xsd:complex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AutoTags" ma:index="24" nillable="true" ma:displayName="Tags" ma:internalName="MediaServiceAutoTags"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400d69b-c4ee-4dab-8955-6fb8aa649365"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ternalName="MediaServiceDateTaken" ma:readOnly="true">
      <xsd:simpleType>
        <xsd:restriction base="dms:Text"/>
      </xsd:simpleType>
    </xsd:element>
    <xsd:element name="MediaServiceLocation" ma:index="31" nillable="true" ma:displayName="Location" ma:internalName="MediaServiceLocatio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Readytosendy_x002f_n" ma:index="36" nillable="true" ma:displayName="Ready to send y/n" ma:format="Dropdown" ma:internalName="Readytosendy_x002f_n">
      <xsd:simpleType>
        <xsd:restriction base="dms:Text">
          <xsd:maxLength value="255"/>
        </xsd:restriction>
      </xsd:simpleType>
    </xsd:element>
    <xsd:element name="SentRhys" ma:index="37" nillable="true" ma:displayName="Sent Rhys" ma:format="Dropdown" ma:internalName="SentRhy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A3B1671-7DD3-4B4D-B8FF-5BB42EA5847C}">
  <ds:schemaRefs>
    <ds:schemaRef ds:uri="http://schemas.microsoft.com/sharepoint/v3/contenttype/forms"/>
  </ds:schemaRefs>
</ds:datastoreItem>
</file>

<file path=customXml/itemProps2.xml><?xml version="1.0" encoding="utf-8"?>
<ds:datastoreItem xmlns:ds="http://schemas.openxmlformats.org/officeDocument/2006/customXml" ds:itemID="{5E73AA7B-BC7A-46E8-8010-42271EA63231}">
  <ds:schemaRefs>
    <ds:schemaRef ds:uri="http://schemas.microsoft.com/office/2006/metadata/properties"/>
    <ds:schemaRef ds:uri="http://schemas.microsoft.com/office/infopath/2007/PartnerControls"/>
    <ds:schemaRef ds:uri="d0408138-5b4c-4df3-9e62-c268ce5ad134"/>
    <ds:schemaRef ds:uri="15ecf9ca-56e7-496a-a0ba-56f3f0e97a38"/>
  </ds:schemaRefs>
</ds:datastoreItem>
</file>

<file path=customXml/itemProps3.xml><?xml version="1.0" encoding="utf-8"?>
<ds:datastoreItem xmlns:ds="http://schemas.openxmlformats.org/officeDocument/2006/customXml" ds:itemID="{DC333D26-D806-4688-A5CF-0000A4EA74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ecf9ca-56e7-496a-a0ba-56f3f0e97a38"/>
    <ds:schemaRef ds:uri="d0408138-5b4c-4df3-9e62-c268ce5ad1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86CD016-A71D-4248-805B-D8C0A8B8DF6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ENT_external_influential_source</vt:lpstr>
      <vt:lpstr>JUNCT_influenced_by</vt:lpstr>
      <vt:lpstr>ENT_webpage</vt:lpstr>
      <vt:lpstr>JUNCT_webpage_relevant_terms</vt:lpstr>
      <vt:lpstr>JUNCT_webpage_links</vt:lpstr>
      <vt:lpstr>ENT_website</vt:lpstr>
      <vt:lpstr>ENT_stakeholder</vt:lpstr>
      <vt:lpstr>ENT_external_reference</vt:lpstr>
      <vt:lpstr>ENT_webpage_faq</vt:lpstr>
      <vt:lpstr>ENT_webpage_main_content</vt:lpstr>
      <vt:lpstr>ENT_disclaimer</vt:lpstr>
      <vt:lpstr>JUNCT_disclaimer</vt:lpstr>
      <vt:lpstr>ENT_vector</vt:lpstr>
      <vt:lpstr>ENT_term</vt:lpstr>
      <vt:lpstr>JUNCT_term_alias</vt:lpstr>
      <vt:lpstr>JUNCT_stakeholder_knowledge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Amann</dc:creator>
  <cp:lastModifiedBy>Thomas Amann</cp:lastModifiedBy>
  <dcterms:created xsi:type="dcterms:W3CDTF">2026-02-20T00:55:14Z</dcterms:created>
  <dcterms:modified xsi:type="dcterms:W3CDTF">2026-03-04T21:26:53Z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7a1598-6906-4e90-a6e7-c88804991a4d_Enabled">
    <vt:lpwstr>true</vt:lpwstr>
  </property>
  <property fmtid="{D5CDD505-2E9C-101B-9397-08002B2CF9AE}" pid="3" name="MSIP_Label_917a1598-6906-4e90-a6e7-c88804991a4d_SetDate">
    <vt:lpwstr>2026-02-20T01:39:44Z</vt:lpwstr>
  </property>
  <property fmtid="{D5CDD505-2E9C-101B-9397-08002B2CF9AE}" pid="4" name="MSIP_Label_917a1598-6906-4e90-a6e7-c88804991a4d_Method">
    <vt:lpwstr>Privileged</vt:lpwstr>
  </property>
  <property fmtid="{D5CDD505-2E9C-101B-9397-08002B2CF9AE}" pid="5" name="MSIP_Label_917a1598-6906-4e90-a6e7-c88804991a4d_Name">
    <vt:lpwstr>OFFICIAL - No markings</vt:lpwstr>
  </property>
  <property fmtid="{D5CDD505-2E9C-101B-9397-08002B2CF9AE}" pid="6" name="MSIP_Label_917a1598-6906-4e90-a6e7-c88804991a4d_SiteId">
    <vt:lpwstr>1eae4a1d-fcf5-4be9-81d4-b60976404837</vt:lpwstr>
  </property>
  <property fmtid="{D5CDD505-2E9C-101B-9397-08002B2CF9AE}" pid="7" name="MSIP_Label_917a1598-6906-4e90-a6e7-c88804991a4d_ActionId">
    <vt:lpwstr>e85c410f-1518-43f4-b224-1c787917f6ff</vt:lpwstr>
  </property>
  <property fmtid="{D5CDD505-2E9C-101B-9397-08002B2CF9AE}" pid="8" name="MSIP_Label_917a1598-6906-4e90-a6e7-c88804991a4d_ContentBits">
    <vt:lpwstr>0</vt:lpwstr>
  </property>
  <property fmtid="{D5CDD505-2E9C-101B-9397-08002B2CF9AE}" pid="9" name="MSIP_Label_917a1598-6906-4e90-a6e7-c88804991a4d_Tag">
    <vt:lpwstr>10, 0, 1, 1</vt:lpwstr>
  </property>
  <property fmtid="{D5CDD505-2E9C-101B-9397-08002B2CF9AE}" pid="10" name="MediaServiceImageTags">
    <vt:lpwstr/>
  </property>
  <property fmtid="{D5CDD505-2E9C-101B-9397-08002B2CF9AE}" pid="11" name="ContentTypeId">
    <vt:lpwstr>0x01010087552FF6B21D054C897DA953F09932C9</vt:lpwstr>
  </property>
  <property fmtid="{D5CDD505-2E9C-101B-9397-08002B2CF9AE}" pid="12" name="Disposal Class">
    <vt:lpwstr>2;#62625|f8c64807-6b86-4213-8e81-7e150d16f081</vt:lpwstr>
  </property>
  <property fmtid="{D5CDD505-2E9C-101B-9397-08002B2CF9AE}" pid="13" name="Protective_x0020_Marking">
    <vt:lpwstr>1;#Official|4853f9bf-723b-4d78-be55-781858c49d5a</vt:lpwstr>
  </property>
  <property fmtid="{D5CDD505-2E9C-101B-9397-08002B2CF9AE}" pid="14" name="DLM">
    <vt:lpwstr/>
  </property>
  <property fmtid="{D5CDD505-2E9C-101B-9397-08002B2CF9AE}" pid="15" name="Disposal_x0020_Class">
    <vt:lpwstr>2;#62625|f8c64807-6b86-4213-8e81-7e150d16f081</vt:lpwstr>
  </property>
  <property fmtid="{D5CDD505-2E9C-101B-9397-08002B2CF9AE}" pid="16" name="_dlc_DocIdItemGuid">
    <vt:lpwstr>d5d68391-df01-4efc-bef5-61a6ac677cce</vt:lpwstr>
  </property>
  <property fmtid="{D5CDD505-2E9C-101B-9397-08002B2CF9AE}" pid="17" name="Protective Marking">
    <vt:lpwstr>1;#Official|4853f9bf-723b-4d78-be55-781858c49d5a</vt:lpwstr>
  </property>
</Properties>
</file>